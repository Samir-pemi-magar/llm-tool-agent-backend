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&amp;L Statement" sheetId="1" state="visible" r:id="rId3"/>
    <sheet name="Sales Log" sheetId="2" state="visible" r:id="rId4"/>
    <sheet name="Inventory" sheetId="3" state="visible" r:id="rId5"/>
    <sheet name="Model Pric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ASSUMPTION: No actual dealer invoice cost data was provided in the source file. This is an industry-typical placeholder (dealer invoice cost is commonly cited around 85-92% of MSRP for luxury vehicles). Replace this single cell with real invoice cost data when available -- every Est. Dealer Cost formula below references this one cell.</t>
        </r>
      </text>
    </comment>
  </commentList>
</comments>
</file>

<file path=xl/sharedStrings.xml><?xml version="1.0" encoding="utf-8"?>
<sst xmlns="http://schemas.openxmlformats.org/spreadsheetml/2006/main" count="688" uniqueCount="309">
  <si>
    <t xml:space="preserve">Dealership Profit &amp; Loss Statement</t>
  </si>
  <si>
    <t xml:space="preserve">Revenue</t>
  </si>
  <si>
    <t xml:space="preserve">COGS</t>
  </si>
  <si>
    <t xml:space="preserve">Gross Profit</t>
  </si>
  <si>
    <t xml:space="preserve">Opex</t>
  </si>
  <si>
    <t xml:space="preserve">Net Profit</t>
  </si>
  <si>
    <t xml:space="preserve">Period Start</t>
  </si>
  <si>
    <t xml:space="preserve">Period End</t>
  </si>
  <si>
    <t xml:space="preserve">REVENUE</t>
  </si>
  <si>
    <t xml:space="preserve">Total Revenue</t>
  </si>
  <si>
    <t xml:space="preserve">COST OF GOODS SOLD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</si>
  <si>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</si>
  <si>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</si>
  <si>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</si>
  <si>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</si>
  <si>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Salaries &amp; Commissions</t>
  </si>
  <si>
    <t xml:space="preserve">Rent &amp; Facilities</t>
  </si>
  <si>
    <t xml:space="preserve">Marketing &amp; Advertising</t>
  </si>
  <si>
    <t xml:space="preserve">Utilities</t>
  </si>
  <si>
    <t xml:space="preserve">Insurance</t>
  </si>
  <si>
    <t xml:space="preserve">Other Operating Expenses</t>
  </si>
  <si>
    <t xml:space="preserve">TOTAL OPERATING EXPENSES</t>
  </si>
  <si>
    <t xml:space="preserve">NET PROFIT</t>
  </si>
  <si>
    <t xml:space="preserve">Net Margin %</t>
  </si>
  <si>
    <t xml:space="preserve">Legend: yellow = your input (period dates, operating expense amounts per period). Black = calculated automatically from the Sales Log sheet -- log every sale there first. Revenue/COGS totals only include Sales Log rows whose Sale Date falls within Period Start/End above.</t>
  </si>
  <si>
    <t xml:space="preserve">Sale Date</t>
  </si>
  <si>
    <t xml:space="preserve">Model Name</t>
  </si>
  <si>
    <t xml:space="preserve">Units Sold</t>
  </si>
  <si>
    <t xml:space="preserve">Sale Price/Unit (USD)</t>
  </si>
  <si>
    <t xml:space="preserve">MSRP (Ref.)</t>
  </si>
  <si>
    <t xml:space="preserve">Est. Unit Cost (Ref.)</t>
  </si>
  <si>
    <t xml:space="preserve">Salesperson</t>
  </si>
  <si>
    <t xml:space="preserve">2023-10-05</t>
  </si>
  <si>
    <t xml:space="preserve">GLC 350e 4MATIC SUV</t>
  </si>
  <si>
    <t xml:space="preserve">59900</t>
  </si>
  <si>
    <t xml:space="preserve">2026-08-28</t>
  </si>
  <si>
    <t xml:space="preserve">E 350 Sedan</t>
  </si>
  <si>
    <t xml:space="preserve">Legend: blue = your input (date, model, units, price, salesperson). Black = calculated automatically from Model Pricing sheet. Pick Model Name from the dropdown so MSRP/cost lookups resolve correctly.</t>
  </si>
  <si>
    <t xml:space="preserve">2026-03-15</t>
  </si>
  <si>
    <t xml:space="preserve">GLC 300 SUV</t>
  </si>
  <si>
    <t xml:space="preserve">2</t>
  </si>
  <si>
    <t xml:space="preserve">52000</t>
  </si>
  <si>
    <t xml:space="preserve">104000</t>
  </si>
  <si>
    <t xml:space="preserve">2023-10-15</t>
  </si>
  <si>
    <t xml:space="preserve">Units in Stock</t>
  </si>
  <si>
    <t xml:space="preserve">Total Inventory Value</t>
  </si>
  <si>
    <t xml:space="preserve">Reorder Level</t>
  </si>
  <si>
    <t xml:space="preserve">Status</t>
  </si>
  <si>
    <t xml:space="preserve">TOTAL</t>
  </si>
  <si>
    <t xml:space="preserve">Legend: blue = your input (Units in Stock, Reorder Level). Black = calculated. Est. Unit Cost pulls from the same assumption cell as Model Pricing (cell O1 there).</t>
  </si>
  <si>
    <t xml:space="preserve">Class / Lineup</t>
  </si>
  <si>
    <t xml:space="preserve">Vehicle Type</t>
  </si>
  <si>
    <t xml:space="preserve">Sub-Brand / Series</t>
  </si>
  <si>
    <t xml:space="preserve">Base MSRP (USD)</t>
  </si>
  <si>
    <t xml:space="preserve">Drivetrain</t>
  </si>
  <si>
    <t xml:space="preserve">Fuel Type / Powertrain</t>
  </si>
  <si>
    <t xml:space="preserve">Engine Details</t>
  </si>
  <si>
    <t xml:space="preserve">Horsepower (hp)</t>
  </si>
  <si>
    <t xml:space="preserve">Torque (lb-ft)</t>
  </si>
  <si>
    <t xml:space="preserve">Transmission</t>
  </si>
  <si>
    <t xml:space="preserve">0-60 mph (sec)</t>
  </si>
  <si>
    <t xml:space="preserve">Est. Fuel Economy / Range</t>
  </si>
  <si>
    <t xml:space="preserve">Seating Capacity</t>
  </si>
  <si>
    <t xml:space="preserve">Est. Dealer Cost (USD)</t>
  </si>
  <si>
    <t xml:space="preserve">C 300 Sedan</t>
  </si>
  <si>
    <t xml:space="preserve">C-Class</t>
  </si>
  <si>
    <t xml:space="preserve">Sedan</t>
  </si>
  <si>
    <t xml:space="preserve">Core / Luxury</t>
  </si>
  <si>
    <t xml:space="preserve">RWD</t>
  </si>
  <si>
    <t xml:space="preserve">Gasoline Mild-Hybrid</t>
  </si>
  <si>
    <t xml:space="preserve">2.0L Inline-4 Turbo</t>
  </si>
  <si>
    <t xml:space="preserve">255 hp</t>
  </si>
  <si>
    <t xml:space="preserve">295 lb-ft</t>
  </si>
  <si>
    <t xml:space="preserve">9G-TRONIC 9-Speed Automatic</t>
  </si>
  <si>
    <t xml:space="preserve">6.0 sec</t>
  </si>
  <si>
    <t xml:space="preserve">26 MPG City / 36 MPG Hwy</t>
  </si>
  <si>
    <t xml:space="preserve">Dealer Cost % of MSRP</t>
  </si>
  <si>
    <t xml:space="preserve">C 300 4MATIC Sedan</t>
  </si>
  <si>
    <t xml:space="preserve">AWD (4MATIC)</t>
  </si>
  <si>
    <t xml:space="preserve">23 MPG City / 33 MPG Hwy</t>
  </si>
  <si>
    <t xml:space="preserve">AMG C 43 Sedan</t>
  </si>
  <si>
    <t xml:space="preserve">Mercedes-AMG</t>
  </si>
  <si>
    <t xml:space="preserve">AWD (AMG Performance 4MATIC+)</t>
  </si>
  <si>
    <t xml:space="preserve">2.0L Inline-4 Turbo w/ Electric Exhaust-Gas Turbo</t>
  </si>
  <si>
    <t xml:space="preserve">402 hp</t>
  </si>
  <si>
    <t xml:space="preserve">369 lb-ft</t>
  </si>
  <si>
    <t xml:space="preserve">AMG SPEEDSHIFT MCT 9-Speed</t>
  </si>
  <si>
    <t xml:space="preserve">4.6 sec</t>
  </si>
  <si>
    <t xml:space="preserve">20 MPG City / 28 MPG Hwy</t>
  </si>
  <si>
    <t xml:space="preserve">AMG C 63 S E PERFORMANCE Sedan</t>
  </si>
  <si>
    <t xml:space="preserve">Plug-in Hybrid (PHEV)</t>
  </si>
  <si>
    <t xml:space="preserve">2.0L Inline-4 Turbo + Rear Electric Motor</t>
  </si>
  <si>
    <t xml:space="preserve">671 hp</t>
  </si>
  <si>
    <t xml:space="preserve">752 lb-ft</t>
  </si>
  <si>
    <t xml:space="preserve">3.3 sec</t>
  </si>
  <si>
    <t xml:space="preserve">41 MPGe / 21 MPG Combined</t>
  </si>
  <si>
    <t xml:space="preserve">E-Class</t>
  </si>
  <si>
    <t xml:space="preserve">6.1 sec</t>
  </si>
  <si>
    <t xml:space="preserve">24 MPG City / 33 MPG Hwy</t>
  </si>
  <si>
    <t xml:space="preserve">E 350 4MATIC Sedan</t>
  </si>
  <si>
    <t xml:space="preserve">E 450 4MATIC Sedan</t>
  </si>
  <si>
    <t xml:space="preserve">3.0L Inline-6 Turbo</t>
  </si>
  <si>
    <t xml:space="preserve">375 hp</t>
  </si>
  <si>
    <t xml:space="preserve">4.4 sec</t>
  </si>
  <si>
    <t xml:space="preserve">22 MPG City / 31 MPG Hwy</t>
  </si>
  <si>
    <t xml:space="preserve">AMG E 53 HYBRID Sedan</t>
  </si>
  <si>
    <t xml:space="preserve">3.0L Inline-6 Turbo + Electric Motor</t>
  </si>
  <si>
    <t xml:space="preserve">577 hp</t>
  </si>
  <si>
    <t xml:space="preserve">553 lb-ft</t>
  </si>
  <si>
    <t xml:space="preserve">AMG SPEEDSHIFT TCT 9-Speed</t>
  </si>
  <si>
    <t xml:space="preserve">3.7 sec</t>
  </si>
  <si>
    <t xml:space="preserve">54 MPGe est.</t>
  </si>
  <si>
    <t xml:space="preserve">S 500 4MATIC Sedan</t>
  </si>
  <si>
    <t xml:space="preserve">S-Class</t>
  </si>
  <si>
    <t xml:space="preserve">Flagship Sedan</t>
  </si>
  <si>
    <t xml:space="preserve">442 hp</t>
  </si>
  <si>
    <t xml:space="preserve">413 lb-ft</t>
  </si>
  <si>
    <t xml:space="preserve">4.5 sec</t>
  </si>
  <si>
    <t xml:space="preserve">21 MPG City / 31 MPG Hwy</t>
  </si>
  <si>
    <t xml:space="preserve">S 580 4MATIC Sedan</t>
  </si>
  <si>
    <t xml:space="preserve">4.0L V8 Biturbo</t>
  </si>
  <si>
    <t xml:space="preserve">496 hp</t>
  </si>
  <si>
    <t xml:space="preserve">516 lb-ft</t>
  </si>
  <si>
    <t xml:space="preserve">4.3 sec</t>
  </si>
  <si>
    <t xml:space="preserve">18 MPG City / 27 MPG Hwy</t>
  </si>
  <si>
    <t xml:space="preserve">S 580e 4MATIC Sedan</t>
  </si>
  <si>
    <t xml:space="preserve">510 hp</t>
  </si>
  <si>
    <t xml:space="preserve">4.8 sec</t>
  </si>
  <si>
    <t xml:space="preserve">46 Miles Electric Range</t>
  </si>
  <si>
    <t xml:space="preserve">Maybach S 580 4MATIC</t>
  </si>
  <si>
    <t xml:space="preserve">S-Class / Maybach</t>
  </si>
  <si>
    <t xml:space="preserve">Ultra-Luxury Sedan</t>
  </si>
  <si>
    <t xml:space="preserve">Mercedes-Maybach</t>
  </si>
  <si>
    <t xml:space="preserve">4.7 sec</t>
  </si>
  <si>
    <t xml:space="preserve">15 MPG City / 25 MPG Hwy</t>
  </si>
  <si>
    <t xml:space="preserve">Maybach S 680 4MATIC</t>
  </si>
  <si>
    <t xml:space="preserve">Gasoline</t>
  </si>
  <si>
    <t xml:space="preserve">6.0L V12 Biturbo</t>
  </si>
  <si>
    <t xml:space="preserve">621 hp</t>
  </si>
  <si>
    <t xml:space="preserve">664 lb-ft</t>
  </si>
  <si>
    <t xml:space="preserve">12 MPG City / 20 MPG Hwy</t>
  </si>
  <si>
    <t xml:space="preserve">CLA 250 Coupe</t>
  </si>
  <si>
    <t xml:space="preserve">CLA-Class</t>
  </si>
  <si>
    <t xml:space="preserve">4-Door Coupe</t>
  </si>
  <si>
    <t xml:space="preserve">FWD</t>
  </si>
  <si>
    <t xml:space="preserve">221 hp</t>
  </si>
  <si>
    <t xml:space="preserve">258 lb-ft</t>
  </si>
  <si>
    <t xml:space="preserve">7-Speed Dual-Clutch (7G-DCT)</t>
  </si>
  <si>
    <t xml:space="preserve">6.3 sec</t>
  </si>
  <si>
    <t xml:space="preserve">AMG CLA 45 S Coupe</t>
  </si>
  <si>
    <t xml:space="preserve">416 hp</t>
  </si>
  <si>
    <t xml:space="preserve">AMG SPEEDSHIFT DCT 8-Speed</t>
  </si>
  <si>
    <t xml:space="preserve">4.0 sec</t>
  </si>
  <si>
    <t xml:space="preserve">EQE 350+ Sedan</t>
  </si>
  <si>
    <t xml:space="preserve">EQE-Class</t>
  </si>
  <si>
    <t xml:space="preserve">Electric Sedan</t>
  </si>
  <si>
    <t xml:space="preserve">Mercedes-EQ</t>
  </si>
  <si>
    <t xml:space="preserve">All-Electric (BEV)</t>
  </si>
  <si>
    <t xml:space="preserve">Single PSM Electric Motor</t>
  </si>
  <si>
    <t xml:space="preserve">288 hp</t>
  </si>
  <si>
    <t xml:space="preserve">417 lb-ft</t>
  </si>
  <si>
    <t xml:space="preserve">Single-Speed Direct Drive</t>
  </si>
  <si>
    <t xml:space="preserve">6.2 sec</t>
  </si>
  <si>
    <t xml:space="preserve">298 Miles Electric Range</t>
  </si>
  <si>
    <t xml:space="preserve">EQE 350 4MATIC Sedan</t>
  </si>
  <si>
    <t xml:space="preserve">Dual PSM Electric Motors</t>
  </si>
  <si>
    <t xml:space="preserve">564 lb-ft</t>
  </si>
  <si>
    <t xml:space="preserve">260 Miles Electric Range</t>
  </si>
  <si>
    <t xml:space="preserve">AMG EQE Sedan</t>
  </si>
  <si>
    <t xml:space="preserve">Mercedes-AMG / EQ</t>
  </si>
  <si>
    <t xml:space="preserve">Dual AMG Electric Motors</t>
  </si>
  <si>
    <t xml:space="preserve">617 hp</t>
  </si>
  <si>
    <t xml:space="preserve">701 lb-ft</t>
  </si>
  <si>
    <t xml:space="preserve">3.2 sec</t>
  </si>
  <si>
    <t xml:space="preserve">225 Miles Electric Range</t>
  </si>
  <si>
    <t xml:space="preserve">EQS 450+ Sedan</t>
  </si>
  <si>
    <t xml:space="preserve">EQS-Class</t>
  </si>
  <si>
    <t xml:space="preserve">Electric Flagship Sedan</t>
  </si>
  <si>
    <t xml:space="preserve">329 hp</t>
  </si>
  <si>
    <t xml:space="preserve">5.9 sec</t>
  </si>
  <si>
    <t xml:space="preserve">352 Miles Electric Range</t>
  </si>
  <si>
    <t xml:space="preserve">EQS 580 4MATIC Sedan</t>
  </si>
  <si>
    <t xml:space="preserve">516 hp</t>
  </si>
  <si>
    <t xml:space="preserve">631 lb-ft</t>
  </si>
  <si>
    <t xml:space="preserve">4.1 sec</t>
  </si>
  <si>
    <t xml:space="preserve">345 Miles Electric Range</t>
  </si>
  <si>
    <t xml:space="preserve">GLA 250 SUV</t>
  </si>
  <si>
    <t xml:space="preserve">GLA-Class</t>
  </si>
  <si>
    <t xml:space="preserve">Compact SUV</t>
  </si>
  <si>
    <t xml:space="preserve">8-Speed Dual-Clutch (8G-DCT)</t>
  </si>
  <si>
    <t xml:space="preserve">6.8 sec</t>
  </si>
  <si>
    <t xml:space="preserve">25 MPG City / 34 MPG Hwy</t>
  </si>
  <si>
    <t xml:space="preserve">GLB 250 SUV</t>
  </si>
  <si>
    <t xml:space="preserve">GLB-Class</t>
  </si>
  <si>
    <t xml:space="preserve">6.9 sec</t>
  </si>
  <si>
    <t xml:space="preserve">25 MPG City / 33 MPG Hwy</t>
  </si>
  <si>
    <t xml:space="preserve">AMG GLB 35 SUV</t>
  </si>
  <si>
    <t xml:space="preserve">AWD (AMG Performance 4MATIC)</t>
  </si>
  <si>
    <t xml:space="preserve">302 hp</t>
  </si>
  <si>
    <t xml:space="preserve">5.2 sec</t>
  </si>
  <si>
    <t xml:space="preserve">21 MPG City / 28 MPG Hwy</t>
  </si>
  <si>
    <t xml:space="preserve">GLC-Class</t>
  </si>
  <si>
    <t xml:space="preserve">Midsize SUV</t>
  </si>
  <si>
    <t xml:space="preserve">26 MPG City / 32 MPG Hwy</t>
  </si>
  <si>
    <t xml:space="preserve">GLC 300 4MATIC SUV</t>
  </si>
  <si>
    <t xml:space="preserve">24 MPG City / 32 MPG Hwy</t>
  </si>
  <si>
    <t xml:space="preserve">2.0L Inline-4 Turbo + Electric Motor</t>
  </si>
  <si>
    <t xml:space="preserve">313 hp</t>
  </si>
  <si>
    <t xml:space="preserve">406 lb-ft</t>
  </si>
  <si>
    <t xml:space="preserve">6.6 sec</t>
  </si>
  <si>
    <t xml:space="preserve">54 Miles Electric Range</t>
  </si>
  <si>
    <t xml:space="preserve">AMG GLC 43 SUV</t>
  </si>
  <si>
    <t xml:space="preserve">19 MPG City / 25 MPG Hwy</t>
  </si>
  <si>
    <t xml:space="preserve">EQB 250+ SUV</t>
  </si>
  <si>
    <t xml:space="preserve">EQB-Class</t>
  </si>
  <si>
    <t xml:space="preserve">Electric Compact SUV</t>
  </si>
  <si>
    <t xml:space="preserve">Single Asynchronous Electric Motor</t>
  </si>
  <si>
    <t xml:space="preserve">188 hp</t>
  </si>
  <si>
    <t xml:space="preserve">284 lb-ft</t>
  </si>
  <si>
    <t xml:space="preserve">8.0 sec</t>
  </si>
  <si>
    <t xml:space="preserve">251 Miles Electric Range</t>
  </si>
  <si>
    <t xml:space="preserve">EQB 300 4MATIC SUV</t>
  </si>
  <si>
    <t xml:space="preserve">Dual Electric Motors</t>
  </si>
  <si>
    <t xml:space="preserve">225 hp</t>
  </si>
  <si>
    <t xml:space="preserve">288 lb-ft</t>
  </si>
  <si>
    <t xml:space="preserve">7.0 sec</t>
  </si>
  <si>
    <t xml:space="preserve">205 Miles Electric Range</t>
  </si>
  <si>
    <t xml:space="preserve">GLE 350 4MATIC SUV</t>
  </si>
  <si>
    <t xml:space="preserve">GLE-Class</t>
  </si>
  <si>
    <t xml:space="preserve">20 MPG City / 27 MPG Hwy</t>
  </si>
  <si>
    <t xml:space="preserve">GLE 450 4MATIC SUV</t>
  </si>
  <si>
    <t xml:space="preserve">5.3 sec</t>
  </si>
  <si>
    <t xml:space="preserve">19 MPG City / 26 MPG Hwy</t>
  </si>
  <si>
    <t xml:space="preserve">AMG GLE 53 SUV</t>
  </si>
  <si>
    <t xml:space="preserve">3.0L Inline-6 Turbo + Electric Auxiliary Compressor</t>
  </si>
  <si>
    <t xml:space="preserve">429 hp</t>
  </si>
  <si>
    <t xml:space="preserve">4.9 sec</t>
  </si>
  <si>
    <t xml:space="preserve">18 MPG City / 23 MPG Hwy</t>
  </si>
  <si>
    <t xml:space="preserve">AMG GLE 63 S SUV</t>
  </si>
  <si>
    <t xml:space="preserve">603 hp</t>
  </si>
  <si>
    <t xml:space="preserve">627 lb-ft</t>
  </si>
  <si>
    <t xml:space="preserve">15 MPG City / 19 MPG Hwy</t>
  </si>
  <si>
    <t xml:space="preserve">GLS 450 SUV</t>
  </si>
  <si>
    <t xml:space="preserve">GLS-Class</t>
  </si>
  <si>
    <t xml:space="preserve">Full-Size SUV</t>
  </si>
  <si>
    <t xml:space="preserve">5.8 sec</t>
  </si>
  <si>
    <t xml:space="preserve">19 MPG City / 24 MPG Hwy</t>
  </si>
  <si>
    <t xml:space="preserve">GLS 580 SUV</t>
  </si>
  <si>
    <t xml:space="preserve">538 lb-ft</t>
  </si>
  <si>
    <t xml:space="preserve">14 MPG City / 19 MPG Hwy</t>
  </si>
  <si>
    <t xml:space="preserve">Maybach GLS 600 4MATIC</t>
  </si>
  <si>
    <t xml:space="preserve">GLS-Class / Maybach</t>
  </si>
  <si>
    <t xml:space="preserve">Ultra-Luxury SUV</t>
  </si>
  <si>
    <t xml:space="preserve">550 hp</t>
  </si>
  <si>
    <t xml:space="preserve">15 MPG City / 20 MPG Hwy</t>
  </si>
  <si>
    <t xml:space="preserve">EQE 350+ SUV</t>
  </si>
  <si>
    <t xml:space="preserve">Electric SUV</t>
  </si>
  <si>
    <t xml:space="preserve">279 Miles Electric Range</t>
  </si>
  <si>
    <t xml:space="preserve">EQS 450+ SUV</t>
  </si>
  <si>
    <t xml:space="preserve">355 hp</t>
  </si>
  <si>
    <t xml:space="preserve">419 lb-ft</t>
  </si>
  <si>
    <t xml:space="preserve">6.5 sec</t>
  </si>
  <si>
    <t xml:space="preserve">305 Miles Electric Range</t>
  </si>
  <si>
    <t xml:space="preserve">Maybach EQS 680 SUV</t>
  </si>
  <si>
    <t xml:space="preserve">EQS-Class / Maybach</t>
  </si>
  <si>
    <t xml:space="preserve">Electric Ultra-Luxury SUV</t>
  </si>
  <si>
    <t xml:space="preserve">Mercedes-Maybach / EQ</t>
  </si>
  <si>
    <t xml:space="preserve">649 hp</t>
  </si>
  <si>
    <t xml:space="preserve">700 lb-ft</t>
  </si>
  <si>
    <t xml:space="preserve">280 Miles Electric Range</t>
  </si>
  <si>
    <t xml:space="preserve">G 550 SUV</t>
  </si>
  <si>
    <t xml:space="preserve">G-Class</t>
  </si>
  <si>
    <t xml:space="preserve">Off-Road Luxury SUV</t>
  </si>
  <si>
    <t xml:space="preserve">AWD (Permanent 4WD)</t>
  </si>
  <si>
    <t xml:space="preserve">443 hp</t>
  </si>
  <si>
    <t xml:space="preserve">13 MPG City / 16 MPG Hwy</t>
  </si>
  <si>
    <t xml:space="preserve">AMG G 63 SUV</t>
  </si>
  <si>
    <t xml:space="preserve">4.2 sec</t>
  </si>
  <si>
    <t xml:space="preserve">13 MPG City / 15 MPG Hwy</t>
  </si>
  <si>
    <t xml:space="preserve">CLE 300 4MATIC Coupe</t>
  </si>
  <si>
    <t xml:space="preserve">CLE-Class</t>
  </si>
  <si>
    <t xml:space="preserve">Coupe</t>
  </si>
  <si>
    <t xml:space="preserve">24 MPG City / 34 MPG Hwy</t>
  </si>
  <si>
    <t xml:space="preserve">CLE 450 4MATIC Coupe</t>
  </si>
  <si>
    <t xml:space="preserve">23 MPG City / 32 MPG Hwy</t>
  </si>
  <si>
    <t xml:space="preserve">AMG CLE 53 Coupe</t>
  </si>
  <si>
    <t xml:space="preserve">3.0L Inline-6 Turbo w/ Electric Auxiliary Compressor</t>
  </si>
  <si>
    <t xml:space="preserve">CLE 300 4MATIC Cabriolet</t>
  </si>
  <si>
    <t xml:space="preserve">Convertible</t>
  </si>
  <si>
    <t xml:space="preserve">AMG GT 43 Coupe</t>
  </si>
  <si>
    <t xml:space="preserve">AMG GT</t>
  </si>
  <si>
    <t xml:space="preserve">Sports Coupe</t>
  </si>
  <si>
    <t xml:space="preserve">19 MPG City / 27 MPG Hwy</t>
  </si>
  <si>
    <t xml:space="preserve">AMG GT 55 Coupe</t>
  </si>
  <si>
    <t xml:space="preserve">469 hp</t>
  </si>
  <si>
    <t xml:space="preserve">3.8 sec</t>
  </si>
  <si>
    <t xml:space="preserve">13 MPG City / 20 MPG Hwy</t>
  </si>
  <si>
    <t xml:space="preserve">AMG GT 63 Coupe</t>
  </si>
  <si>
    <t xml:space="preserve">590 lb-ft</t>
  </si>
  <si>
    <t xml:space="preserve">3.1 sec</t>
  </si>
  <si>
    <t xml:space="preserve">AMG SL 43 Roadster</t>
  </si>
  <si>
    <t xml:space="preserve">SL-Class</t>
  </si>
  <si>
    <t xml:space="preserve">Roadster Convertible</t>
  </si>
  <si>
    <t xml:space="preserve">354 lb-ft</t>
  </si>
  <si>
    <t xml:space="preserve">21 MPG City / 27 MPG Hwy</t>
  </si>
  <si>
    <t xml:space="preserve">AMG SL 55 Roadster</t>
  </si>
  <si>
    <t xml:space="preserve">14 MPG City / 21 MPG Hwy</t>
  </si>
  <si>
    <t xml:space="preserve">AMG SL 63 Roadster</t>
  </si>
  <si>
    <t xml:space="preserve">3.5 sec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</si>
</sst>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"/>
    <numFmt numFmtId="166" formatCode="mm/dd/yyyy"/>
    <numFmt numFmtId="167" formatCode="0.0%"/>
    <numFmt numFmtId="168" formatCode="\$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5E7EB"/>
        <bgColor rgb="FFDBEAFE"/>
      </patternFill>
    </fill>
    <fill>
      <patternFill patternType="solid">
        <fgColor rgb="FFDBEAFE"/>
        <bgColor rgb="FFE5E7EB"/>
      </patternFill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D9D9D9"/>
      <rgbColor rgb="FF8B8B8B"/>
      <rgbColor rgb="FF9999FF"/>
      <rgbColor rgb="FFEA4335"/>
      <rgbColor rgb="FFFEF3C7"/>
      <rgbColor rgb="FFDBEAFE"/>
      <rgbColor rgb="FF660066"/>
      <rgbColor rgb="FFFF8080"/>
      <rgbColor rgb="FF4285F4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F8FAF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BBC04"/>
      <rgbColor rgb="FFFF9900"/>
      <rgbColor rgb="FFFF6D01"/>
      <rgbColor rgb="FF6B7280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P&amp;L Summary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Statement'!$D$1:$H$1</c:f>
              <c:strCache>
                <c:ptCount val="5"/>
                <c:pt idx="0">
                  <c:v>Revenue</c:v>
                </c:pt>
                <c:pt idx="1">
                  <c:v>COGS</c:v>
                </c:pt>
                <c:pt idx="2">
                  <c:v>Gross Profit</c:v>
                </c:pt>
                <c:pt idx="3">
                  <c:v>Opex</c:v>
                </c:pt>
                <c:pt idx="4">
                  <c:v>Net Profit</c:v>
                </c:pt>
              </c:strCache>
            </c:strRef>
          </c:cat>
          <c:val>
            <c:numRef>
              <c:f>'P&amp;L Statement'!$D$2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ea433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Statement'!$D$1:$H$1</c:f>
              <c:strCache>
                <c:ptCount val="5"/>
                <c:pt idx="0">
                  <c:v>Revenue</c:v>
                </c:pt>
                <c:pt idx="1">
                  <c:v>COGS</c:v>
                </c:pt>
                <c:pt idx="2">
                  <c:v>Gross Profit</c:v>
                </c:pt>
                <c:pt idx="3">
                  <c:v>Opex</c:v>
                </c:pt>
                <c:pt idx="4">
                  <c:v>Net Profit</c:v>
                </c:pt>
              </c:strCache>
            </c:strRef>
          </c:cat>
          <c:val>
            <c:numRef>
              <c:f>'P&amp;L Statement'!$E$2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rgbClr val="fbbc0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Statement'!$D$1:$H$1</c:f>
              <c:strCache>
                <c:ptCount val="5"/>
                <c:pt idx="0">
                  <c:v>Revenue</c:v>
                </c:pt>
                <c:pt idx="1">
                  <c:v>COGS</c:v>
                </c:pt>
                <c:pt idx="2">
                  <c:v>Gross Profit</c:v>
                </c:pt>
                <c:pt idx="3">
                  <c:v>Opex</c:v>
                </c:pt>
                <c:pt idx="4">
                  <c:v>Net Profit</c:v>
                </c:pt>
              </c:strCache>
            </c:strRef>
          </c:cat>
          <c:val>
            <c:numRef>
              <c:f>'P&amp;L Statement'!$F$2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34a85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Statement'!$D$1:$H$1</c:f>
              <c:strCache>
                <c:ptCount val="5"/>
                <c:pt idx="0">
                  <c:v>Revenue</c:v>
                </c:pt>
                <c:pt idx="1">
                  <c:v>COGS</c:v>
                </c:pt>
                <c:pt idx="2">
                  <c:v>Gross Profit</c:v>
                </c:pt>
                <c:pt idx="3">
                  <c:v>Opex</c:v>
                </c:pt>
                <c:pt idx="4">
                  <c:v>Net Profit</c:v>
                </c:pt>
              </c:strCache>
            </c:strRef>
          </c:cat>
          <c:val>
            <c:numRef>
              <c:f>'P&amp;L Statement'!$G$2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ff6d0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Statement'!$D$1:$H$1</c:f>
              <c:strCache>
                <c:ptCount val="5"/>
                <c:pt idx="0">
                  <c:v>Revenue</c:v>
                </c:pt>
                <c:pt idx="1">
                  <c:v>COGS</c:v>
                </c:pt>
                <c:pt idx="2">
                  <c:v>Gross Profit</c:v>
                </c:pt>
                <c:pt idx="3">
                  <c:v>Opex</c:v>
                </c:pt>
                <c:pt idx="4">
                  <c:v>Net Profit</c:v>
                </c:pt>
              </c:strCache>
            </c:strRef>
          </c:cat>
          <c:val>
            <c:numRef>
              <c:f>'P&amp;L Statement'!$H$2</c:f>
              <c:numCache>
                <c:formatCode>\$#,##0;"($"#,##0\)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50206255"/>
        <c:axId val="99658095"/>
      </c:barChart>
      <c:catAx>
        <c:axId val="5020625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9658095"/>
        <c:crosses val="autoZero"/>
        <c:auto val="1"/>
        <c:lblAlgn val="ctr"/>
        <c:lblOffset val="100"/>
        <c:noMultiLvlLbl val="0"/>
      </c:catAx>
      <c:valAx>
        <c:axId val="9965809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  <a:ea typeface="Arial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502062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3</xdr:col>
      <xdr:colOff>1881360</xdr:colOff>
      <xdr:row>34</xdr:row>
      <xdr:rowOff>87480</xdr:rowOff>
    </xdr:to>
    <xdr:graphicFrame>
      <xdr:nvGraphicFramePr>
        <xdr:cNvPr id="0" name="Chart 1"/>
        <xdr:cNvGraphicFramePr/>
      </xdr:nvGraphicFramePr>
      <xdr:xfrm>
        <a:off x="0" y="4133880"/>
        <a:ext cx="5758200" cy="287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0</v>
      </c>
      <c r="B1" s="2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customFormat="false" ht="15" hidden="false" customHeight="true" outlineLevel="0" collapsed="false">
      <c r="D2" s="4" t="n">
        <f aca="false">B7</f>
        <v>0</v>
      </c>
      <c r="E2" s="4" t="n">
        <f aca="false">B10</f>
        <v>0</v>
      </c>
      <c r="F2" s="4" t="n">
        <f aca="false">B12</f>
        <v>0</v>
      </c>
      <c r="G2" s="4" t="n">
        <f aca="false">B22</f>
        <v>0</v>
      </c>
      <c r="H2" s="4" t="n">
        <f aca="false">B24</f>
        <v>0</v>
      </c>
    </row>
    <row r="3" customFormat="false" ht="15" hidden="false" customHeight="true" outlineLevel="0" collapsed="false">
      <c r="A3" s="5" t="s">
        <v>6</v>
      </c>
      <c r="B3" s="6" t="n">
        <v>46023</v>
      </c>
    </row>
    <row r="4" customFormat="false" ht="15" hidden="false" customHeight="true" outlineLevel="0" collapsed="false">
      <c r="A4" s="5" t="s">
        <v>7</v>
      </c>
      <c r="B4" s="6" t="n">
        <v>46387</v>
      </c>
    </row>
    <row r="6" customFormat="false" ht="15" hidden="false" customHeight="true" outlineLevel="0" collapsed="false">
      <c r="A6" s="7" t="s">
        <v>8</v>
      </c>
      <c r="B6" s="8"/>
    </row>
    <row r="7" customFormat="false" ht="15" hidden="false" customHeight="true" outlineLevel="0" collapsed="false">
      <c r="A7" s="9" t="s">
        <v>9</v>
      </c>
      <c r="B7" s="10" t="n">
        <f aca="false">SUMIFS('Sales Log'!$G$2:$G$302,'Sales Log'!$A$2:$A$302,"&gt;="&amp;B3,'Sales Log'!$A$2:$A$302,"&lt;="&amp;B4)</f>
        <v>0</v>
      </c>
    </row>
    <row r="9" customFormat="false" ht="15" hidden="false" customHeight="true" outlineLevel="0" collapsed="false">
      <c r="A9" s="7" t="s">
        <v>10</v>
      </c>
      <c r="B9" s="8"/>
    </row>
    <row r="10" customFormat="false" ht="15" hidden="false" customHeight="true" outlineLevel="0" collapsed="false">
      <c r="A10" s="9" t="s">
        <v>11</v>
      </c>
      <c r="B10" s="10" t="n">
        <f aca="false">SUMIFS('Sales Log'!$H$2:$H$302,'Sales Log'!$A$2:$A$302,"&gt;="&amp;B3,'Sales Log'!$A$2:$A$302,"&lt;="&amp;B4)</f>
        <v>0</v>
      </c>
    </row>
    <row r="12" customFormat="false" ht="15" hidden="false" customHeight="true" outlineLevel="0" collapsed="false">
      <c r="A12" s="11" t="s">
        <v>12</v>
      </c>
      <c r="B12" s="12" t="n">
        <f aca="false">B7-B10</f>
        <v>0</v>
      </c>
    </row>
    <row r="13" customFormat="false" ht="15" hidden="false" customHeight="true" outlineLevel="0" collapsed="false">
      <c r="A13" s="9" t="s">
        <v>13</v>
      </c>
      <c r="B13" s="13" t="n">
        <f aca="false">IFERROR(B12/B7,0)</f>
        <v>0</v>
      </c>
    </row>
    <row r="15" customFormat="false" ht="15" hidden="false" customHeight="true" outlineLevel="0" collapsed="false">
      <c r="A15" s="7" t="s">
        <v>14</v>
      </c>
      <c r="B15" s="8"/>
    </row>
    <row r="16" customFormat="false" ht="15" hidden="false" customHeight="true" outlineLevel="0" collapsed="false">
      <c r="A16" s="9" t="s">
        <v>15</v>
      </c>
      <c r="B16" s="14" t="n">
        <v>0</v>
      </c>
    </row>
    <row r="17" customFormat="false" ht="15" hidden="false" customHeight="true" outlineLevel="0" collapsed="false">
      <c r="A17" s="9" t="s">
        <v>16</v>
      </c>
      <c r="B17" s="14" t="n">
        <v>0</v>
      </c>
    </row>
    <row r="18" customFormat="false" ht="15" hidden="false" customHeight="true" outlineLevel="0" collapsed="false">
      <c r="A18" s="9" t="s">
        <v>17</v>
      </c>
      <c r="B18" s="14" t="n">
        <v>0</v>
      </c>
    </row>
    <row r="19" customFormat="false" ht="15" hidden="false" customHeight="true" outlineLevel="0" collapsed="false">
      <c r="A19" s="9" t="s">
        <v>18</v>
      </c>
      <c r="B19" s="14" t="n">
        <v>0</v>
      </c>
    </row>
    <row r="20" customFormat="false" ht="15" hidden="false" customHeight="true" outlineLevel="0" collapsed="false">
      <c r="A20" s="9" t="s">
        <v>19</v>
      </c>
      <c r="B20" s="14" t="n">
        <v>0</v>
      </c>
    </row>
    <row r="21" customFormat="false" ht="15" hidden="false" customHeight="true" outlineLevel="0" collapsed="false">
      <c r="A21" s="9" t="s">
        <v>20</v>
      </c>
      <c r="B21" s="14" t="n">
        <v>0</v>
      </c>
    </row>
    <row r="22" customFormat="false" ht="15" hidden="false" customHeight="true" outlineLevel="0" collapsed="false">
      <c r="A22" s="11" t="s">
        <v>21</v>
      </c>
      <c r="B22" s="12" t="n">
        <f aca="false">SUM(B16:B21)</f>
        <v>0</v>
      </c>
    </row>
    <row r="24" customFormat="false" ht="15" hidden="false" customHeight="true" outlineLevel="0" collapsed="false">
      <c r="A24" s="11" t="s">
        <v>22</v>
      </c>
      <c r="B24" s="12" t="n">
        <f aca="false">B12-B22</f>
        <v>0</v>
      </c>
    </row>
    <row r="25" customFormat="false" ht="15" hidden="false" customHeight="true" outlineLevel="0" collapsed="false">
      <c r="A25" s="9" t="s">
        <v>23</v>
      </c>
      <c r="B25" s="13" t="n">
        <f aca="false">IFERROR(B24/B7,0)</f>
        <v>0</v>
      </c>
    </row>
    <row r="28" customFormat="false" ht="39.75" hidden="false" customHeight="true" outlineLevel="0" collapsed="false">
      <c r="A28" s="15" t="s">
        <v>24</v>
      </c>
      <c r="B28" s="15"/>
    </row>
  </sheetData>
  <mergeCells count="2">
    <mergeCell ref="A1:B1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J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9" min="7" style="1" width="14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  <c r="F1" s="16" t="s">
        <v>30</v>
      </c>
      <c r="G1" s="16" t="s">
        <v>1</v>
      </c>
      <c r="H1" s="16" t="s">
        <v>2</v>
      </c>
      <c r="I1" s="16" t="s">
        <v>3</v>
      </c>
      <c r="J1" s="16" t="s">
        <v>31</v>
      </c>
    </row>
    <row r="2" customFormat="false" ht="15" hidden="false" customHeight="true" outlineLevel="0" collapsed="false">
      <c r="A2" s="17" t="s">
        <v>32</v>
      </c>
      <c r="B2" s="18" t="s">
        <v>33</v>
      </c>
      <c r="C2" s="18" t="n">
        <v>3</v>
      </c>
      <c r="D2" s="18" t="n">
        <v>59900</v>
      </c>
      <c r="E2" s="19" t="s">
        <v>34</v>
      </c>
      <c r="F2" s="19" t="n">
        <f aca="false">IFERROR(INDEX('Model Pricing'!$O$2:$O$52,MATCH(B2,'Model Pricing'!$A$2:$A$52,0)),"")</f>
        <v>52712</v>
      </c>
      <c r="G2" s="19" t="n">
        <f aca="false">IFERROR(C2*D2,"")</f>
        <v>179700</v>
      </c>
      <c r="H2" s="19" t="n">
        <f aca="false">IFERROR(C2*F2,"")</f>
        <v>158136</v>
      </c>
      <c r="I2" s="19" t="n">
        <f aca="false">IFERROR(G2-H2,"")</f>
        <v>21564</v>
      </c>
      <c r="J2" s="18"/>
    </row>
    <row r="3" customFormat="false" ht="15" hidden="false" customHeight="true" outlineLevel="0" collapsed="false">
      <c r="A3" s="20" t="s">
        <v>35</v>
      </c>
      <c r="B3" s="21" t="s">
        <v>36</v>
      </c>
      <c r="C3" s="21" t="n">
        <v>2</v>
      </c>
      <c r="D3" s="21" t="n">
        <v>53760</v>
      </c>
      <c r="E3" s="10" t="n">
        <f aca="false">IFERROR(INDEX('Model Pricing'!$E$2:$E$52,MATCH(B3,'Model Pricing'!$A$2:$A$52,0)),"")</f>
        <v>65200</v>
      </c>
      <c r="F3" s="10" t="n">
        <f aca="false">IFERROR(INDEX('Model Pricing'!$O$2:$O$52,MATCH(B3,'Model Pricing'!$A$2:$A$52,0)),"")</f>
        <v>57376</v>
      </c>
      <c r="G3" s="10" t="n">
        <f aca="false">IFERROR(C3*D3,"")</f>
        <v>107520</v>
      </c>
      <c r="H3" s="10" t="n">
        <f aca="false">IFERROR(C3*F3,"")</f>
        <v>114752</v>
      </c>
      <c r="I3" s="10" t="n">
        <f aca="false">IFERROR(G3-H3,"")</f>
        <v>-7232</v>
      </c>
      <c r="J3" s="21"/>
    </row>
    <row r="4" customFormat="false" ht="15" hidden="false" customHeight="true" outlineLevel="0" collapsed="false">
      <c r="A4" s="20" t="s">
        <v>35</v>
      </c>
      <c r="B4" s="21" t="s">
        <v>36</v>
      </c>
      <c r="C4" s="21" t="n">
        <v>2</v>
      </c>
      <c r="D4" s="21" t="n">
        <v>53760</v>
      </c>
      <c r="E4" s="10" t="n">
        <f aca="false">IFERROR(INDEX('Model Pricing'!$E$2:$E$52,MATCH(B4,'Model Pricing'!$A$2:$A$52,0)),"")</f>
        <v>65200</v>
      </c>
      <c r="F4" s="10" t="n">
        <f aca="false">IFERROR(INDEX('Model Pricing'!$O$2:$O$52,MATCH(B4,'Model Pricing'!$A$2:$A$52,0)),"")</f>
        <v>57376</v>
      </c>
      <c r="G4" s="10" t="n">
        <f aca="false">IFERROR(C4*D4,"")</f>
        <v>107520</v>
      </c>
      <c r="H4" s="10" t="n">
        <f aca="false">IFERROR(C4*F4,"")</f>
        <v>114752</v>
      </c>
      <c r="I4" s="10" t="n">
        <f aca="false">IFERROR(G4-H4,"")</f>
        <v>-7232</v>
      </c>
      <c r="J4" s="21"/>
    </row>
    <row r="5" customFormat="false" ht="15" hidden="false" customHeight="true" outlineLevel="0" collapsed="false">
      <c r="A5" s="20"/>
      <c r="B5" s="21"/>
      <c r="C5" s="21"/>
      <c r="D5" s="21"/>
      <c r="E5" s="10" t="str">
        <f aca="false">IFERROR(INDEX('Model Pricing'!$E$2:$E$52,MATCH(B5,'Model Pricing'!$A$2:$A$52,0)),"")</f>
        <v/>
      </c>
      <c r="F5" s="10" t="str">
        <f aca="false">IFERROR(INDEX('Model Pricing'!$O$2:$O$52,MATCH(B5,'Model Pricing'!$A$2:$A$52,0)),"")</f>
        <v/>
      </c>
      <c r="G5" s="10" t="n">
        <f aca="false">IFERROR(C5*D5,"")</f>
        <v>0</v>
      </c>
      <c r="H5" s="10" t="str">
        <f aca="false">IFERROR(C5*F5,"")</f>
        <v/>
      </c>
      <c r="I5" s="10" t="str">
        <f aca="false">IFERROR(G5-H5,"")</f>
        <v/>
      </c>
      <c r="J5" s="21"/>
    </row>
    <row r="6" customFormat="false" ht="15" hidden="false" customHeight="true" outlineLevel="0" collapsed="false">
      <c r="A6" s="20"/>
      <c r="B6" s="21"/>
      <c r="C6" s="21"/>
      <c r="D6" s="21"/>
      <c r="E6" s="10" t="str">
        <f aca="false">IFERROR(INDEX('Model Pricing'!$E$2:$E$52,MATCH(B6,'Model Pricing'!$A$2:$A$52,0)),"")</f>
        <v/>
      </c>
      <c r="F6" s="10" t="str">
        <f aca="false">IFERROR(INDEX('Model Pricing'!$O$2:$O$52,MATCH(B6,'Model Pricing'!$A$2:$A$52,0)),"")</f>
        <v/>
      </c>
      <c r="G6" s="10" t="n">
        <f aca="false">IFERROR(C6*D6,"")</f>
        <v>0</v>
      </c>
      <c r="H6" s="10" t="str">
        <f aca="false">IFERROR(C6*F6,"")</f>
        <v/>
      </c>
      <c r="I6" s="10" t="str">
        <f aca="false">IFERROR(G6-H6,"")</f>
        <v/>
      </c>
      <c r="J6" s="21"/>
    </row>
    <row r="7" customFormat="false" ht="15" hidden="false" customHeight="true" outlineLevel="0" collapsed="false">
      <c r="A7" s="20"/>
      <c r="B7" s="21"/>
      <c r="C7" s="21"/>
      <c r="D7" s="21"/>
      <c r="E7" s="10" t="str">
        <f aca="false">IFERROR(INDEX('Model Pricing'!$E$2:$E$52,MATCH(B7,'Model Pricing'!$A$2:$A$52,0)),"")</f>
        <v/>
      </c>
      <c r="F7" s="10" t="str">
        <f aca="false">IFERROR(INDEX('Model Pricing'!$O$2:$O$52,MATCH(B7,'Model Pricing'!$A$2:$A$52,0)),"")</f>
        <v/>
      </c>
      <c r="G7" s="10" t="n">
        <f aca="false">IFERROR(C7*D7,"")</f>
        <v>0</v>
      </c>
      <c r="H7" s="10" t="str">
        <f aca="false">IFERROR(C7*F7,"")</f>
        <v/>
      </c>
      <c r="I7" s="10" t="str">
        <f aca="false">IFERROR(G7-H7,"")</f>
        <v/>
      </c>
      <c r="J7" s="21"/>
    </row>
    <row r="8" customFormat="false" ht="15" hidden="false" customHeight="true" outlineLevel="0" collapsed="false">
      <c r="A8" s="20"/>
      <c r="B8" s="21"/>
      <c r="C8" s="21"/>
      <c r="D8" s="21"/>
      <c r="E8" s="10" t="str">
        <f aca="false">IFERROR(INDEX('Model Pricing'!$E$2:$E$52,MATCH(B8,'Model Pricing'!$A$2:$A$52,0)),"")</f>
        <v/>
      </c>
      <c r="F8" s="10" t="str">
        <f aca="false">IFERROR(INDEX('Model Pricing'!$O$2:$O$52,MATCH(B8,'Model Pricing'!$A$2:$A$52,0)),"")</f>
        <v/>
      </c>
      <c r="G8" s="10" t="n">
        <f aca="false">IFERROR(C8*D8,"")</f>
        <v>0</v>
      </c>
      <c r="H8" s="10" t="str">
        <f aca="false">IFERROR(C8*F8,"")</f>
        <v/>
      </c>
      <c r="I8" s="10" t="str">
        <f aca="false">IFERROR(G8-H8,"")</f>
        <v/>
      </c>
      <c r="J8" s="21"/>
    </row>
    <row r="9" customFormat="false" ht="15" hidden="false" customHeight="true" outlineLevel="0" collapsed="false">
      <c r="A9" s="20"/>
      <c r="B9" s="21"/>
      <c r="C9" s="21"/>
      <c r="D9" s="21"/>
      <c r="E9" s="10" t="str">
        <f aca="false">IFERROR(INDEX('Model Pricing'!$E$2:$E$52,MATCH(B9,'Model Pricing'!$A$2:$A$52,0)),"")</f>
        <v/>
      </c>
      <c r="F9" s="10" t="str">
        <f aca="false">IFERROR(INDEX('Model Pricing'!$O$2:$O$52,MATCH(B9,'Model Pricing'!$A$2:$A$52,0)),"")</f>
        <v/>
      </c>
      <c r="G9" s="10" t="n">
        <f aca="false">IFERROR(C9*D9,"")</f>
        <v>0</v>
      </c>
      <c r="H9" s="10" t="str">
        <f aca="false">IFERROR(C9*F9,"")</f>
        <v/>
      </c>
      <c r="I9" s="10" t="str">
        <f aca="false">IFERROR(G9-H9,"")</f>
        <v/>
      </c>
      <c r="J9" s="21"/>
    </row>
    <row r="10" customFormat="false" ht="15" hidden="false" customHeight="true" outlineLevel="0" collapsed="false">
      <c r="A10" s="20"/>
      <c r="B10" s="21"/>
      <c r="C10" s="21"/>
      <c r="D10" s="21"/>
      <c r="E10" s="10" t="str">
        <f aca="false">IFERROR(INDEX('Model Pricing'!$E$2:$E$52,MATCH(B10,'Model Pricing'!$A$2:$A$52,0)),"")</f>
        <v/>
      </c>
      <c r="F10" s="10" t="str">
        <f aca="false">IFERROR(INDEX('Model Pricing'!$O$2:$O$52,MATCH(B10,'Model Pricing'!$A$2:$A$52,0)),"")</f>
        <v/>
      </c>
      <c r="G10" s="10" t="n">
        <f aca="false">IFERROR(C10*D10,"")</f>
        <v>0</v>
      </c>
      <c r="H10" s="10" t="str">
        <f aca="false">IFERROR(C10*F10,"")</f>
        <v/>
      </c>
      <c r="I10" s="10" t="str">
        <f aca="false">IFERROR(G10-H10,"")</f>
        <v/>
      </c>
      <c r="J10" s="21"/>
    </row>
    <row r="11" customFormat="false" ht="15" hidden="false" customHeight="true" outlineLevel="0" collapsed="false">
      <c r="A11" s="20"/>
      <c r="B11" s="21"/>
      <c r="C11" s="21"/>
      <c r="D11" s="21"/>
      <c r="E11" s="10" t="str">
        <f aca="false">IFERROR(INDEX('Model Pricing'!$E$2:$E$52,MATCH(B11,'Model Pricing'!$A$2:$A$52,0)),"")</f>
        <v/>
      </c>
      <c r="F11" s="10" t="str">
        <f aca="false">IFERROR(INDEX('Model Pricing'!$O$2:$O$52,MATCH(B11,'Model Pricing'!$A$2:$A$52,0)),"")</f>
        <v/>
      </c>
      <c r="G11" s="10" t="n">
        <f aca="false">IFERROR(C11*D11,"")</f>
        <v>0</v>
      </c>
      <c r="H11" s="10" t="str">
        <f aca="false">IFERROR(C11*F11,"")</f>
        <v/>
      </c>
      <c r="I11" s="10" t="str">
        <f aca="false">IFERROR(G11-H11,"")</f>
        <v/>
      </c>
      <c r="J11" s="21"/>
    </row>
    <row r="12" customFormat="false" ht="15" hidden="false" customHeight="true" outlineLevel="0" collapsed="false">
      <c r="A12" s="20"/>
      <c r="B12" s="21"/>
      <c r="C12" s="21"/>
      <c r="D12" s="21"/>
      <c r="E12" s="10" t="str">
        <f aca="false">IFERROR(INDEX('Model Pricing'!$E$2:$E$52,MATCH(B12,'Model Pricing'!$A$2:$A$52,0)),"")</f>
        <v/>
      </c>
      <c r="F12" s="10" t="str">
        <f aca="false">IFERROR(INDEX('Model Pricing'!$O$2:$O$52,MATCH(B12,'Model Pricing'!$A$2:$A$52,0)),"")</f>
        <v/>
      </c>
      <c r="G12" s="10" t="n">
        <f aca="false">IFERROR(C12*D12,"")</f>
        <v>0</v>
      </c>
      <c r="H12" s="10" t="str">
        <f aca="false">IFERROR(C12*F12,"")</f>
        <v/>
      </c>
      <c r="I12" s="10" t="str">
        <f aca="false">IFERROR(G12-H12,"")</f>
        <v/>
      </c>
      <c r="J12" s="21"/>
    </row>
    <row r="13" customFormat="false" ht="15" hidden="false" customHeight="true" outlineLevel="0" collapsed="false">
      <c r="A13" s="20"/>
      <c r="B13" s="21"/>
      <c r="C13" s="21"/>
      <c r="D13" s="21"/>
      <c r="E13" s="10" t="str">
        <f aca="false">IFERROR(INDEX('Model Pricing'!$E$2:$E$52,MATCH(B13,'Model Pricing'!$A$2:$A$52,0)),"")</f>
        <v/>
      </c>
      <c r="F13" s="10" t="str">
        <f aca="false">IFERROR(INDEX('Model Pricing'!$O$2:$O$52,MATCH(B13,'Model Pricing'!$A$2:$A$52,0)),"")</f>
        <v/>
      </c>
      <c r="G13" s="10" t="n">
        <f aca="false">IFERROR(C13*D13,"")</f>
        <v>0</v>
      </c>
      <c r="H13" s="10" t="str">
        <f aca="false">IFERROR(C13*F13,"")</f>
        <v/>
      </c>
      <c r="I13" s="10" t="str">
        <f aca="false">IFERROR(G13-H13,"")</f>
        <v/>
      </c>
      <c r="J13" s="21"/>
    </row>
    <row r="14" customFormat="false" ht="15" hidden="false" customHeight="true" outlineLevel="0" collapsed="false">
      <c r="A14" s="20"/>
      <c r="B14" s="21"/>
      <c r="C14" s="21"/>
      <c r="D14" s="21"/>
      <c r="E14" s="10" t="str">
        <f aca="false">IFERROR(INDEX('Model Pricing'!$E$2:$E$52,MATCH(B14,'Model Pricing'!$A$2:$A$52,0)),"")</f>
        <v/>
      </c>
      <c r="F14" s="10" t="str">
        <f aca="false">IFERROR(INDEX('Model Pricing'!$O$2:$O$52,MATCH(B14,'Model Pricing'!$A$2:$A$52,0)),"")</f>
        <v/>
      </c>
      <c r="G14" s="10" t="n">
        <f aca="false">IFERROR(C14*D14,"")</f>
        <v>0</v>
      </c>
      <c r="H14" s="10" t="str">
        <f aca="false">IFERROR(C14*F14,"")</f>
        <v/>
      </c>
      <c r="I14" s="10" t="str">
        <f aca="false">IFERROR(G14-H14,"")</f>
        <v/>
      </c>
      <c r="J14" s="21"/>
    </row>
    <row r="15" customFormat="false" ht="15" hidden="false" customHeight="true" outlineLevel="0" collapsed="false">
      <c r="A15" s="20"/>
      <c r="B15" s="21"/>
      <c r="C15" s="21"/>
      <c r="D15" s="21"/>
      <c r="E15" s="10" t="str">
        <f aca="false">IFERROR(INDEX('Model Pricing'!$E$2:$E$52,MATCH(B15,'Model Pricing'!$A$2:$A$52,0)),"")</f>
        <v/>
      </c>
      <c r="F15" s="10" t="str">
        <f aca="false">IFERROR(INDEX('Model Pricing'!$O$2:$O$52,MATCH(B15,'Model Pricing'!$A$2:$A$52,0)),"")</f>
        <v/>
      </c>
      <c r="G15" s="10" t="n">
        <f aca="false">IFERROR(C15*D15,"")</f>
        <v>0</v>
      </c>
      <c r="H15" s="10" t="str">
        <f aca="false">IFERROR(C15*F15,"")</f>
        <v/>
      </c>
      <c r="I15" s="10" t="str">
        <f aca="false">IFERROR(G15-H15,"")</f>
        <v/>
      </c>
      <c r="J15" s="21"/>
    </row>
    <row r="16" customFormat="false" ht="15" hidden="false" customHeight="true" outlineLevel="0" collapsed="false">
      <c r="A16" s="20"/>
      <c r="B16" s="21"/>
      <c r="C16" s="21"/>
      <c r="D16" s="21"/>
      <c r="E16" s="10" t="str">
        <f aca="false">IFERROR(INDEX('Model Pricing'!$E$2:$E$52,MATCH(B16,'Model Pricing'!$A$2:$A$52,0)),"")</f>
        <v/>
      </c>
      <c r="F16" s="10" t="str">
        <f aca="false">IFERROR(INDEX('Model Pricing'!$O$2:$O$52,MATCH(B16,'Model Pricing'!$A$2:$A$52,0)),"")</f>
        <v/>
      </c>
      <c r="G16" s="10" t="n">
        <f aca="false">IFERROR(C16*D16,"")</f>
        <v>0</v>
      </c>
      <c r="H16" s="10" t="str">
        <f aca="false">IFERROR(C16*F16,"")</f>
        <v/>
      </c>
      <c r="I16" s="10" t="str">
        <f aca="false">IFERROR(G16-H16,"")</f>
        <v/>
      </c>
      <c r="J16" s="21"/>
    </row>
    <row r="17" customFormat="false" ht="15" hidden="false" customHeight="true" outlineLevel="0" collapsed="false">
      <c r="A17" s="20"/>
      <c r="B17" s="21"/>
      <c r="C17" s="21"/>
      <c r="D17" s="21"/>
      <c r="E17" s="10" t="str">
        <f aca="false">IFERROR(INDEX('Model Pricing'!$E$2:$E$52,MATCH(B17,'Model Pricing'!$A$2:$A$52,0)),"")</f>
        <v/>
      </c>
      <c r="F17" s="10" t="str">
        <f aca="false">IFERROR(INDEX('Model Pricing'!$O$2:$O$52,MATCH(B17,'Model Pricing'!$A$2:$A$52,0)),"")</f>
        <v/>
      </c>
      <c r="G17" s="10" t="n">
        <f aca="false">IFERROR(C17*D17,"")</f>
        <v>0</v>
      </c>
      <c r="H17" s="10" t="str">
        <f aca="false">IFERROR(C17*F17,"")</f>
        <v/>
      </c>
      <c r="I17" s="10" t="str">
        <f aca="false">IFERROR(G17-H17,"")</f>
        <v/>
      </c>
      <c r="J17" s="21"/>
    </row>
    <row r="18" customFormat="false" ht="15" hidden="false" customHeight="true" outlineLevel="0" collapsed="false">
      <c r="A18" s="20"/>
      <c r="B18" s="21"/>
      <c r="C18" s="21"/>
      <c r="D18" s="21"/>
      <c r="E18" s="10" t="str">
        <f aca="false">IFERROR(INDEX('Model Pricing'!$E$2:$E$52,MATCH(B18,'Model Pricing'!$A$2:$A$52,0)),"")</f>
        <v/>
      </c>
      <c r="F18" s="10" t="str">
        <f aca="false">IFERROR(INDEX('Model Pricing'!$O$2:$O$52,MATCH(B18,'Model Pricing'!$A$2:$A$52,0)),"")</f>
        <v/>
      </c>
      <c r="G18" s="10" t="n">
        <f aca="false">IFERROR(C18*D18,"")</f>
        <v>0</v>
      </c>
      <c r="H18" s="10" t="str">
        <f aca="false">IFERROR(C18*F18,"")</f>
        <v/>
      </c>
      <c r="I18" s="10" t="str">
        <f aca="false">IFERROR(G18-H18,"")</f>
        <v/>
      </c>
      <c r="J18" s="21"/>
    </row>
    <row r="19" customFormat="false" ht="15" hidden="false" customHeight="true" outlineLevel="0" collapsed="false">
      <c r="A19" s="20"/>
      <c r="B19" s="21"/>
      <c r="C19" s="21"/>
      <c r="D19" s="21"/>
      <c r="E19" s="10" t="str">
        <f aca="false">IFERROR(INDEX('Model Pricing'!$E$2:$E$52,MATCH(B19,'Model Pricing'!$A$2:$A$52,0)),"")</f>
        <v/>
      </c>
      <c r="F19" s="10" t="str">
        <f aca="false">IFERROR(INDEX('Model Pricing'!$O$2:$O$52,MATCH(B19,'Model Pricing'!$A$2:$A$52,0)),"")</f>
        <v/>
      </c>
      <c r="G19" s="10" t="n">
        <f aca="false">IFERROR(C19*D19,"")</f>
        <v>0</v>
      </c>
      <c r="H19" s="10" t="str">
        <f aca="false">IFERROR(C19*F19,"")</f>
        <v/>
      </c>
      <c r="I19" s="10" t="str">
        <f aca="false">IFERROR(G19-H19,"")</f>
        <v/>
      </c>
      <c r="J19" s="21"/>
    </row>
    <row r="20" customFormat="false" ht="15" hidden="false" customHeight="true" outlineLevel="0" collapsed="false">
      <c r="A20" s="20"/>
      <c r="B20" s="21"/>
      <c r="C20" s="21"/>
      <c r="D20" s="21"/>
      <c r="E20" s="10" t="str">
        <f aca="false">IFERROR(INDEX('Model Pricing'!$E$2:$E$52,MATCH(B20,'Model Pricing'!$A$2:$A$52,0)),"")</f>
        <v/>
      </c>
      <c r="F20" s="10" t="str">
        <f aca="false">IFERROR(INDEX('Model Pricing'!$O$2:$O$52,MATCH(B20,'Model Pricing'!$A$2:$A$52,0)),"")</f>
        <v/>
      </c>
      <c r="G20" s="10" t="n">
        <f aca="false">IFERROR(C20*D20,"")</f>
        <v>0</v>
      </c>
      <c r="H20" s="10" t="str">
        <f aca="false">IFERROR(C20*F20,"")</f>
        <v/>
      </c>
      <c r="I20" s="10" t="str">
        <f aca="false">IFERROR(G20-H20,"")</f>
        <v/>
      </c>
      <c r="J20" s="21"/>
    </row>
    <row r="21" customFormat="false" ht="15" hidden="false" customHeight="true" outlineLevel="0" collapsed="false">
      <c r="A21" s="20"/>
      <c r="B21" s="21"/>
      <c r="C21" s="21"/>
      <c r="D21" s="21"/>
      <c r="E21" s="10" t="str">
        <f aca="false">IFERROR(INDEX('Model Pricing'!$E$2:$E$52,MATCH(B21,'Model Pricing'!$A$2:$A$52,0)),"")</f>
        <v/>
      </c>
      <c r="F21" s="10" t="str">
        <f aca="false">IFERROR(INDEX('Model Pricing'!$O$2:$O$52,MATCH(B21,'Model Pricing'!$A$2:$A$52,0)),"")</f>
        <v/>
      </c>
      <c r="G21" s="10" t="n">
        <f aca="false">IFERROR(C21*D21,"")</f>
        <v>0</v>
      </c>
      <c r="H21" s="10" t="str">
        <f aca="false">IFERROR(C21*F21,"")</f>
        <v/>
      </c>
      <c r="I21" s="10" t="str">
        <f aca="false">IFERROR(G21-H21,"")</f>
        <v/>
      </c>
      <c r="J21" s="21"/>
    </row>
    <row r="22" customFormat="false" ht="15" hidden="false" customHeight="true" outlineLevel="0" collapsed="false">
      <c r="A22" s="20"/>
      <c r="B22" s="21"/>
      <c r="C22" s="21"/>
      <c r="D22" s="21"/>
      <c r="E22" s="10" t="str">
        <f aca="false">IFERROR(INDEX('Model Pricing'!$E$2:$E$52,MATCH(B22,'Model Pricing'!$A$2:$A$52,0)),"")</f>
        <v/>
      </c>
      <c r="F22" s="10" t="str">
        <f aca="false">IFERROR(INDEX('Model Pricing'!$O$2:$O$52,MATCH(B22,'Model Pricing'!$A$2:$A$52,0)),"")</f>
        <v/>
      </c>
      <c r="G22" s="10" t="n">
        <f aca="false">IFERROR(C22*D22,"")</f>
        <v>0</v>
      </c>
      <c r="H22" s="10" t="str">
        <f aca="false">IFERROR(C22*F22,"")</f>
        <v/>
      </c>
      <c r="I22" s="10" t="str">
        <f aca="false">IFERROR(G22-H22,"")</f>
        <v/>
      </c>
      <c r="J22" s="21"/>
    </row>
    <row r="23" customFormat="false" ht="15" hidden="false" customHeight="true" outlineLevel="0" collapsed="false">
      <c r="A23" s="20"/>
      <c r="B23" s="21"/>
      <c r="C23" s="21"/>
      <c r="D23" s="21"/>
      <c r="E23" s="10" t="str">
        <f aca="false">IFERROR(INDEX('Model Pricing'!$E$2:$E$52,MATCH(B23,'Model Pricing'!$A$2:$A$52,0)),"")</f>
        <v/>
      </c>
      <c r="F23" s="10" t="str">
        <f aca="false">IFERROR(INDEX('Model Pricing'!$O$2:$O$52,MATCH(B23,'Model Pricing'!$A$2:$A$52,0)),"")</f>
        <v/>
      </c>
      <c r="G23" s="10" t="n">
        <f aca="false">IFERROR(C23*D23,"")</f>
        <v>0</v>
      </c>
      <c r="H23" s="10" t="str">
        <f aca="false">IFERROR(C23*F23,"")</f>
        <v/>
      </c>
      <c r="I23" s="10" t="str">
        <f aca="false">IFERROR(G23-H23,"")</f>
        <v/>
      </c>
      <c r="J23" s="21"/>
    </row>
    <row r="24" customFormat="false" ht="15" hidden="false" customHeight="true" outlineLevel="0" collapsed="false">
      <c r="A24" s="20"/>
      <c r="B24" s="21"/>
      <c r="C24" s="21"/>
      <c r="D24" s="21"/>
      <c r="E24" s="10" t="str">
        <f aca="false">IFERROR(INDEX('Model Pricing'!$E$2:$E$52,MATCH(B24,'Model Pricing'!$A$2:$A$52,0)),"")</f>
        <v/>
      </c>
      <c r="F24" s="10" t="str">
        <f aca="false">IFERROR(INDEX('Model Pricing'!$O$2:$O$52,MATCH(B24,'Model Pricing'!$A$2:$A$52,0)),"")</f>
        <v/>
      </c>
      <c r="G24" s="10" t="n">
        <f aca="false">IFERROR(C24*D24,"")</f>
        <v>0</v>
      </c>
      <c r="H24" s="10" t="str">
        <f aca="false">IFERROR(C24*F24,"")</f>
        <v/>
      </c>
      <c r="I24" s="10" t="str">
        <f aca="false">IFERROR(G24-H24,"")</f>
        <v/>
      </c>
      <c r="J24" s="21"/>
    </row>
    <row r="25" customFormat="false" ht="15" hidden="false" customHeight="true" outlineLevel="0" collapsed="false">
      <c r="A25" s="20"/>
      <c r="B25" s="21"/>
      <c r="C25" s="21"/>
      <c r="D25" s="21"/>
      <c r="E25" s="10" t="str">
        <f aca="false">IFERROR(INDEX('Model Pricing'!$E$2:$E$52,MATCH(B25,'Model Pricing'!$A$2:$A$52,0)),"")</f>
        <v/>
      </c>
      <c r="F25" s="10" t="str">
        <f aca="false">IFERROR(INDEX('Model Pricing'!$O$2:$O$52,MATCH(B25,'Model Pricing'!$A$2:$A$52,0)),"")</f>
        <v/>
      </c>
      <c r="G25" s="10" t="n">
        <f aca="false">IFERROR(C25*D25,"")</f>
        <v>0</v>
      </c>
      <c r="H25" s="10" t="str">
        <f aca="false">IFERROR(C25*F25,"")</f>
        <v/>
      </c>
      <c r="I25" s="10" t="str">
        <f aca="false">IFERROR(G25-H25,"")</f>
        <v/>
      </c>
      <c r="J25" s="21"/>
    </row>
    <row r="26" customFormat="false" ht="15" hidden="false" customHeight="true" outlineLevel="0" collapsed="false">
      <c r="A26" s="20"/>
      <c r="B26" s="21"/>
      <c r="C26" s="21"/>
      <c r="D26" s="21"/>
      <c r="E26" s="10" t="str">
        <f aca="false">IFERROR(INDEX('Model Pricing'!$E$2:$E$52,MATCH(B26,'Model Pricing'!$A$2:$A$52,0)),"")</f>
        <v/>
      </c>
      <c r="F26" s="10" t="str">
        <f aca="false">IFERROR(INDEX('Model Pricing'!$O$2:$O$52,MATCH(B26,'Model Pricing'!$A$2:$A$52,0)),"")</f>
        <v/>
      </c>
      <c r="G26" s="10" t="n">
        <f aca="false">IFERROR(C26*D26,"")</f>
        <v>0</v>
      </c>
      <c r="H26" s="10" t="str">
        <f aca="false">IFERROR(C26*F26,"")</f>
        <v/>
      </c>
      <c r="I26" s="10" t="str">
        <f aca="false">IFERROR(G26-H26,"")</f>
        <v/>
      </c>
      <c r="J26" s="21"/>
    </row>
    <row r="27" customFormat="false" ht="15" hidden="false" customHeight="true" outlineLevel="0" collapsed="false">
      <c r="A27" s="20"/>
      <c r="B27" s="21"/>
      <c r="C27" s="21"/>
      <c r="D27" s="21"/>
      <c r="E27" s="10" t="str">
        <f aca="false">IFERROR(INDEX('Model Pricing'!$E$2:$E$52,MATCH(B27,'Model Pricing'!$A$2:$A$52,0)),"")</f>
        <v/>
      </c>
      <c r="F27" s="10" t="str">
        <f aca="false">IFERROR(INDEX('Model Pricing'!$O$2:$O$52,MATCH(B27,'Model Pricing'!$A$2:$A$52,0)),"")</f>
        <v/>
      </c>
      <c r="G27" s="10" t="n">
        <f aca="false">IFERROR(C27*D27,"")</f>
        <v>0</v>
      </c>
      <c r="H27" s="10" t="str">
        <f aca="false">IFERROR(C27*F27,"")</f>
        <v/>
      </c>
      <c r="I27" s="10" t="str">
        <f aca="false">IFERROR(G27-H27,"")</f>
        <v/>
      </c>
      <c r="J27" s="21"/>
    </row>
    <row r="28" customFormat="false" ht="15" hidden="false" customHeight="true" outlineLevel="0" collapsed="false">
      <c r="A28" s="20"/>
      <c r="B28" s="21"/>
      <c r="C28" s="21"/>
      <c r="D28" s="21"/>
      <c r="E28" s="10" t="str">
        <f aca="false">IFERROR(INDEX('Model Pricing'!$E$2:$E$52,MATCH(B28,'Model Pricing'!$A$2:$A$52,0)),"")</f>
        <v/>
      </c>
      <c r="F28" s="10" t="str">
        <f aca="false">IFERROR(INDEX('Model Pricing'!$O$2:$O$52,MATCH(B28,'Model Pricing'!$A$2:$A$52,0)),"")</f>
        <v/>
      </c>
      <c r="G28" s="10" t="n">
        <f aca="false">IFERROR(C28*D28,"")</f>
        <v>0</v>
      </c>
      <c r="H28" s="10" t="str">
        <f aca="false">IFERROR(C28*F28,"")</f>
        <v/>
      </c>
      <c r="I28" s="10" t="str">
        <f aca="false">IFERROR(G28-H28,"")</f>
        <v/>
      </c>
      <c r="J28" s="21"/>
    </row>
    <row r="29" customFormat="false" ht="15" hidden="false" customHeight="true" outlineLevel="0" collapsed="false">
      <c r="A29" s="20"/>
      <c r="B29" s="21"/>
      <c r="C29" s="21"/>
      <c r="D29" s="21"/>
      <c r="E29" s="10" t="str">
        <f aca="false">IFERROR(INDEX('Model Pricing'!$E$2:$E$52,MATCH(B29,'Model Pricing'!$A$2:$A$52,0)),"")</f>
        <v/>
      </c>
      <c r="F29" s="10" t="str">
        <f aca="false">IFERROR(INDEX('Model Pricing'!$O$2:$O$52,MATCH(B29,'Model Pricing'!$A$2:$A$52,0)),"")</f>
        <v/>
      </c>
      <c r="G29" s="10" t="n">
        <f aca="false">IFERROR(C29*D29,"")</f>
        <v>0</v>
      </c>
      <c r="H29" s="10" t="str">
        <f aca="false">IFERROR(C29*F29,"")</f>
        <v/>
      </c>
      <c r="I29" s="10" t="str">
        <f aca="false">IFERROR(G29-H29,"")</f>
        <v/>
      </c>
      <c r="J29" s="21"/>
    </row>
    <row r="30" customFormat="false" ht="15" hidden="false" customHeight="true" outlineLevel="0" collapsed="false">
      <c r="A30" s="20"/>
      <c r="B30" s="21"/>
      <c r="C30" s="21"/>
      <c r="D30" s="21"/>
      <c r="E30" s="10" t="str">
        <f aca="false">IFERROR(INDEX('Model Pricing'!$E$2:$E$52,MATCH(B30,'Model Pricing'!$A$2:$A$52,0)),"")</f>
        <v/>
      </c>
      <c r="F30" s="10" t="str">
        <f aca="false">IFERROR(INDEX('Model Pricing'!$O$2:$O$52,MATCH(B30,'Model Pricing'!$A$2:$A$52,0)),"")</f>
        <v/>
      </c>
      <c r="G30" s="10" t="n">
        <f aca="false">IFERROR(C30*D30,"")</f>
        <v>0</v>
      </c>
      <c r="H30" s="10" t="str">
        <f aca="false">IFERROR(C30*F30,"")</f>
        <v/>
      </c>
      <c r="I30" s="10" t="str">
        <f aca="false">IFERROR(G30-H30,"")</f>
        <v/>
      </c>
      <c r="J30" s="21"/>
    </row>
    <row r="31" customFormat="false" ht="15" hidden="false" customHeight="true" outlineLevel="0" collapsed="false">
      <c r="A31" s="20"/>
      <c r="B31" s="21"/>
      <c r="C31" s="21"/>
      <c r="D31" s="21"/>
      <c r="E31" s="10" t="str">
        <f aca="false">IFERROR(INDEX('Model Pricing'!$E$2:$E$52,MATCH(B31,'Model Pricing'!$A$2:$A$52,0)),"")</f>
        <v/>
      </c>
      <c r="F31" s="10" t="str">
        <f aca="false">IFERROR(INDEX('Model Pricing'!$O$2:$O$52,MATCH(B31,'Model Pricing'!$A$2:$A$52,0)),"")</f>
        <v/>
      </c>
      <c r="G31" s="10" t="n">
        <f aca="false">IFERROR(C31*D31,"")</f>
        <v>0</v>
      </c>
      <c r="H31" s="10" t="str">
        <f aca="false">IFERROR(C31*F31,"")</f>
        <v/>
      </c>
      <c r="I31" s="10" t="str">
        <f aca="false">IFERROR(G31-H31,"")</f>
        <v/>
      </c>
      <c r="J31" s="21"/>
    </row>
    <row r="32" customFormat="false" ht="15" hidden="false" customHeight="true" outlineLevel="0" collapsed="false">
      <c r="A32" s="20"/>
      <c r="B32" s="21"/>
      <c r="C32" s="21"/>
      <c r="D32" s="21"/>
      <c r="E32" s="10" t="str">
        <f aca="false">IFERROR(INDEX('Model Pricing'!$E$2:$E$52,MATCH(B32,'Model Pricing'!$A$2:$A$52,0)),"")</f>
        <v/>
      </c>
      <c r="F32" s="10" t="str">
        <f aca="false">IFERROR(INDEX('Model Pricing'!$O$2:$O$52,MATCH(B32,'Model Pricing'!$A$2:$A$52,0)),"")</f>
        <v/>
      </c>
      <c r="G32" s="10" t="n">
        <f aca="false">IFERROR(C32*D32,"")</f>
        <v>0</v>
      </c>
      <c r="H32" s="10" t="str">
        <f aca="false">IFERROR(C32*F32,"")</f>
        <v/>
      </c>
      <c r="I32" s="10" t="str">
        <f aca="false">IFERROR(G32-H32,"")</f>
        <v/>
      </c>
      <c r="J32" s="21"/>
    </row>
    <row r="33" customFormat="false" ht="15" hidden="false" customHeight="true" outlineLevel="0" collapsed="false">
      <c r="A33" s="20"/>
      <c r="B33" s="21"/>
      <c r="C33" s="21"/>
      <c r="D33" s="21"/>
      <c r="E33" s="10" t="str">
        <f aca="false">IFERROR(INDEX('Model Pricing'!$E$2:$E$52,MATCH(B33,'Model Pricing'!$A$2:$A$52,0)),"")</f>
        <v/>
      </c>
      <c r="F33" s="10" t="str">
        <f aca="false">IFERROR(INDEX('Model Pricing'!$O$2:$O$52,MATCH(B33,'Model Pricing'!$A$2:$A$52,0)),"")</f>
        <v/>
      </c>
      <c r="G33" s="10" t="n">
        <f aca="false">IFERROR(C33*D33,"")</f>
        <v>0</v>
      </c>
      <c r="H33" s="10" t="str">
        <f aca="false">IFERROR(C33*F33,"")</f>
        <v/>
      </c>
      <c r="I33" s="10" t="str">
        <f aca="false">IFERROR(G33-H33,"")</f>
        <v/>
      </c>
      <c r="J33" s="21"/>
    </row>
    <row r="34" customFormat="false" ht="15" hidden="false" customHeight="true" outlineLevel="0" collapsed="false">
      <c r="A34" s="20"/>
      <c r="B34" s="21"/>
      <c r="C34" s="21"/>
      <c r="D34" s="21"/>
      <c r="E34" s="10" t="str">
        <f aca="false">IFERROR(INDEX('Model Pricing'!$E$2:$E$52,MATCH(B34,'Model Pricing'!$A$2:$A$52,0)),"")</f>
        <v/>
      </c>
      <c r="F34" s="10" t="str">
        <f aca="false">IFERROR(INDEX('Model Pricing'!$O$2:$O$52,MATCH(B34,'Model Pricing'!$A$2:$A$52,0)),"")</f>
        <v/>
      </c>
      <c r="G34" s="10" t="n">
        <f aca="false">IFERROR(C34*D34,"")</f>
        <v>0</v>
      </c>
      <c r="H34" s="10" t="str">
        <f aca="false">IFERROR(C34*F34,"")</f>
        <v/>
      </c>
      <c r="I34" s="10" t="str">
        <f aca="false">IFERROR(G34-H34,"")</f>
        <v/>
      </c>
      <c r="J34" s="21"/>
    </row>
    <row r="35" customFormat="false" ht="15" hidden="false" customHeight="true" outlineLevel="0" collapsed="false">
      <c r="A35" s="20"/>
      <c r="B35" s="21"/>
      <c r="C35" s="21"/>
      <c r="D35" s="21"/>
      <c r="E35" s="10" t="str">
        <f aca="false">IFERROR(INDEX('Model Pricing'!$E$2:$E$52,MATCH(B35,'Model Pricing'!$A$2:$A$52,0)),"")</f>
        <v/>
      </c>
      <c r="F35" s="10" t="str">
        <f aca="false">IFERROR(INDEX('Model Pricing'!$O$2:$O$52,MATCH(B35,'Model Pricing'!$A$2:$A$52,0)),"")</f>
        <v/>
      </c>
      <c r="G35" s="10" t="n">
        <f aca="false">IFERROR(C35*D35,"")</f>
        <v>0</v>
      </c>
      <c r="H35" s="10" t="str">
        <f aca="false">IFERROR(C35*F35,"")</f>
        <v/>
      </c>
      <c r="I35" s="10" t="str">
        <f aca="false">IFERROR(G35-H35,"")</f>
        <v/>
      </c>
      <c r="J35" s="21"/>
    </row>
    <row r="36" customFormat="false" ht="15" hidden="false" customHeight="true" outlineLevel="0" collapsed="false">
      <c r="A36" s="20"/>
      <c r="B36" s="21"/>
      <c r="C36" s="21"/>
      <c r="D36" s="21"/>
      <c r="E36" s="10" t="str">
        <f aca="false">IFERROR(INDEX('Model Pricing'!$E$2:$E$52,MATCH(B36,'Model Pricing'!$A$2:$A$52,0)),"")</f>
        <v/>
      </c>
      <c r="F36" s="10" t="str">
        <f aca="false">IFERROR(INDEX('Model Pricing'!$O$2:$O$52,MATCH(B36,'Model Pricing'!$A$2:$A$52,0)),"")</f>
        <v/>
      </c>
      <c r="G36" s="10" t="n">
        <f aca="false">IFERROR(C36*D36,"")</f>
        <v>0</v>
      </c>
      <c r="H36" s="10" t="str">
        <f aca="false">IFERROR(C36*F36,"")</f>
        <v/>
      </c>
      <c r="I36" s="10" t="str">
        <f aca="false">IFERROR(G36-H36,"")</f>
        <v/>
      </c>
      <c r="J36" s="21"/>
    </row>
    <row r="37" customFormat="false" ht="15" hidden="false" customHeight="true" outlineLevel="0" collapsed="false">
      <c r="A37" s="20"/>
      <c r="B37" s="21"/>
      <c r="C37" s="21"/>
      <c r="D37" s="21"/>
      <c r="E37" s="10" t="str">
        <f aca="false">IFERROR(INDEX('Model Pricing'!$E$2:$E$52,MATCH(B37,'Model Pricing'!$A$2:$A$52,0)),"")</f>
        <v/>
      </c>
      <c r="F37" s="10" t="str">
        <f aca="false">IFERROR(INDEX('Model Pricing'!$O$2:$O$52,MATCH(B37,'Model Pricing'!$A$2:$A$52,0)),"")</f>
        <v/>
      </c>
      <c r="G37" s="10" t="n">
        <f aca="false">IFERROR(C37*D37,"")</f>
        <v>0</v>
      </c>
      <c r="H37" s="10" t="str">
        <f aca="false">IFERROR(C37*F37,"")</f>
        <v/>
      </c>
      <c r="I37" s="10" t="str">
        <f aca="false">IFERROR(G37-H37,"")</f>
        <v/>
      </c>
      <c r="J37" s="21"/>
    </row>
    <row r="38" customFormat="false" ht="15" hidden="false" customHeight="true" outlineLevel="0" collapsed="false">
      <c r="A38" s="20"/>
      <c r="B38" s="21"/>
      <c r="C38" s="21"/>
      <c r="D38" s="21"/>
      <c r="E38" s="10" t="str">
        <f aca="false">IFERROR(INDEX('Model Pricing'!$E$2:$E$52,MATCH(B38,'Model Pricing'!$A$2:$A$52,0)),"")</f>
        <v/>
      </c>
      <c r="F38" s="10" t="str">
        <f aca="false">IFERROR(INDEX('Model Pricing'!$O$2:$O$52,MATCH(B38,'Model Pricing'!$A$2:$A$52,0)),"")</f>
        <v/>
      </c>
      <c r="G38" s="10" t="n">
        <f aca="false">IFERROR(C38*D38,"")</f>
        <v>0</v>
      </c>
      <c r="H38" s="10" t="str">
        <f aca="false">IFERROR(C38*F38,"")</f>
        <v/>
      </c>
      <c r="I38" s="10" t="str">
        <f aca="false">IFERROR(G38-H38,"")</f>
        <v/>
      </c>
      <c r="J38" s="21"/>
    </row>
    <row r="39" customFormat="false" ht="15" hidden="false" customHeight="true" outlineLevel="0" collapsed="false">
      <c r="A39" s="20"/>
      <c r="B39" s="21"/>
      <c r="C39" s="21"/>
      <c r="D39" s="21"/>
      <c r="E39" s="10" t="str">
        <f aca="false">IFERROR(INDEX('Model Pricing'!$E$2:$E$52,MATCH(B39,'Model Pricing'!$A$2:$A$52,0)),"")</f>
        <v/>
      </c>
      <c r="F39" s="10" t="str">
        <f aca="false">IFERROR(INDEX('Model Pricing'!$O$2:$O$52,MATCH(B39,'Model Pricing'!$A$2:$A$52,0)),"")</f>
        <v/>
      </c>
      <c r="G39" s="10" t="n">
        <f aca="false">IFERROR(C39*D39,"")</f>
        <v>0</v>
      </c>
      <c r="H39" s="10" t="str">
        <f aca="false">IFERROR(C39*F39,"")</f>
        <v/>
      </c>
      <c r="I39" s="10" t="str">
        <f aca="false">IFERROR(G39-H39,"")</f>
        <v/>
      </c>
      <c r="J39" s="21"/>
    </row>
    <row r="40" customFormat="false" ht="15" hidden="false" customHeight="true" outlineLevel="0" collapsed="false">
      <c r="A40" s="20"/>
      <c r="B40" s="21"/>
      <c r="C40" s="21"/>
      <c r="D40" s="21"/>
      <c r="E40" s="10" t="str">
        <f aca="false">IFERROR(INDEX('Model Pricing'!$E$2:$E$52,MATCH(B40,'Model Pricing'!$A$2:$A$52,0)),"")</f>
        <v/>
      </c>
      <c r="F40" s="10" t="str">
        <f aca="false">IFERROR(INDEX('Model Pricing'!$O$2:$O$52,MATCH(B40,'Model Pricing'!$A$2:$A$52,0)),"")</f>
        <v/>
      </c>
      <c r="G40" s="10" t="n">
        <f aca="false">IFERROR(C40*D40,"")</f>
        <v>0</v>
      </c>
      <c r="H40" s="10" t="str">
        <f aca="false">IFERROR(C40*F40,"")</f>
        <v/>
      </c>
      <c r="I40" s="10" t="str">
        <f aca="false">IFERROR(G40-H40,"")</f>
        <v/>
      </c>
      <c r="J40" s="21"/>
    </row>
    <row r="41" customFormat="false" ht="15" hidden="false" customHeight="true" outlineLevel="0" collapsed="false">
      <c r="A41" s="20"/>
      <c r="B41" s="21"/>
      <c r="C41" s="21"/>
      <c r="D41" s="21"/>
      <c r="E41" s="10" t="str">
        <f aca="false">IFERROR(INDEX('Model Pricing'!$E$2:$E$52,MATCH(B41,'Model Pricing'!$A$2:$A$52,0)),"")</f>
        <v/>
      </c>
      <c r="F41" s="10" t="str">
        <f aca="false">IFERROR(INDEX('Model Pricing'!$O$2:$O$52,MATCH(B41,'Model Pricing'!$A$2:$A$52,0)),"")</f>
        <v/>
      </c>
      <c r="G41" s="10" t="n">
        <f aca="false">IFERROR(C41*D41,"")</f>
        <v>0</v>
      </c>
      <c r="H41" s="10" t="str">
        <f aca="false">IFERROR(C41*F41,"")</f>
        <v/>
      </c>
      <c r="I41" s="10" t="str">
        <f aca="false">IFERROR(G41-H41,"")</f>
        <v/>
      </c>
      <c r="J41" s="21"/>
    </row>
    <row r="42" customFormat="false" ht="15" hidden="false" customHeight="true" outlineLevel="0" collapsed="false">
      <c r="A42" s="20"/>
      <c r="B42" s="21"/>
      <c r="C42" s="21"/>
      <c r="D42" s="21"/>
      <c r="E42" s="10" t="str">
        <f aca="false">IFERROR(INDEX('Model Pricing'!$E$2:$E$52,MATCH(B42,'Model Pricing'!$A$2:$A$52,0)),"")</f>
        <v/>
      </c>
      <c r="F42" s="10" t="str">
        <f aca="false">IFERROR(INDEX('Model Pricing'!$O$2:$O$52,MATCH(B42,'Model Pricing'!$A$2:$A$52,0)),"")</f>
        <v/>
      </c>
      <c r="G42" s="10" t="n">
        <f aca="false">IFERROR(C42*D42,"")</f>
        <v>0</v>
      </c>
      <c r="H42" s="10" t="str">
        <f aca="false">IFERROR(C42*F42,"")</f>
        <v/>
      </c>
      <c r="I42" s="10" t="str">
        <f aca="false">IFERROR(G42-H42,"")</f>
        <v/>
      </c>
      <c r="J42" s="21"/>
    </row>
    <row r="43" customFormat="false" ht="15" hidden="false" customHeight="true" outlineLevel="0" collapsed="false">
      <c r="A43" s="20"/>
      <c r="B43" s="21"/>
      <c r="C43" s="21"/>
      <c r="D43" s="21"/>
      <c r="E43" s="10" t="str">
        <f aca="false">IFERROR(INDEX('Model Pricing'!$E$2:$E$52,MATCH(B43,'Model Pricing'!$A$2:$A$52,0)),"")</f>
        <v/>
      </c>
      <c r="F43" s="10" t="str">
        <f aca="false">IFERROR(INDEX('Model Pricing'!$O$2:$O$52,MATCH(B43,'Model Pricing'!$A$2:$A$52,0)),"")</f>
        <v/>
      </c>
      <c r="G43" s="10" t="n">
        <f aca="false">IFERROR(C43*D43,"")</f>
        <v>0</v>
      </c>
      <c r="H43" s="10" t="str">
        <f aca="false">IFERROR(C43*F43,"")</f>
        <v/>
      </c>
      <c r="I43" s="10" t="str">
        <f aca="false">IFERROR(G43-H43,"")</f>
        <v/>
      </c>
      <c r="J43" s="21"/>
    </row>
    <row r="44" customFormat="false" ht="15" hidden="false" customHeight="true" outlineLevel="0" collapsed="false">
      <c r="A44" s="20"/>
      <c r="B44" s="21"/>
      <c r="C44" s="21"/>
      <c r="D44" s="21"/>
      <c r="E44" s="10" t="str">
        <f aca="false">IFERROR(INDEX('Model Pricing'!$E$2:$E$52,MATCH(B44,'Model Pricing'!$A$2:$A$52,0)),"")</f>
        <v/>
      </c>
      <c r="F44" s="10" t="str">
        <f aca="false">IFERROR(INDEX('Model Pricing'!$O$2:$O$52,MATCH(B44,'Model Pricing'!$A$2:$A$52,0)),"")</f>
        <v/>
      </c>
      <c r="G44" s="10" t="n">
        <f aca="false">IFERROR(C44*D44,"")</f>
        <v>0</v>
      </c>
      <c r="H44" s="10" t="str">
        <f aca="false">IFERROR(C44*F44,"")</f>
        <v/>
      </c>
      <c r="I44" s="10" t="str">
        <f aca="false">IFERROR(G44-H44,"")</f>
        <v/>
      </c>
      <c r="J44" s="21"/>
    </row>
    <row r="45" customFormat="false" ht="15" hidden="false" customHeight="true" outlineLevel="0" collapsed="false">
      <c r="A45" s="20"/>
      <c r="B45" s="21"/>
      <c r="C45" s="21"/>
      <c r="D45" s="21"/>
      <c r="E45" s="10" t="str">
        <f aca="false">IFERROR(INDEX('Model Pricing'!$E$2:$E$52,MATCH(B45,'Model Pricing'!$A$2:$A$52,0)),"")</f>
        <v/>
      </c>
      <c r="F45" s="10" t="str">
        <f aca="false">IFERROR(INDEX('Model Pricing'!$O$2:$O$52,MATCH(B45,'Model Pricing'!$A$2:$A$52,0)),"")</f>
        <v/>
      </c>
      <c r="G45" s="10" t="n">
        <f aca="false">IFERROR(C45*D45,"")</f>
        <v>0</v>
      </c>
      <c r="H45" s="10" t="str">
        <f aca="false">IFERROR(C45*F45,"")</f>
        <v/>
      </c>
      <c r="I45" s="10" t="str">
        <f aca="false">IFERROR(G45-H45,"")</f>
        <v/>
      </c>
      <c r="J45" s="21"/>
    </row>
    <row r="46" customFormat="false" ht="15" hidden="false" customHeight="true" outlineLevel="0" collapsed="false">
      <c r="A46" s="20"/>
      <c r="B46" s="21"/>
      <c r="C46" s="21"/>
      <c r="D46" s="21"/>
      <c r="E46" s="10" t="str">
        <f aca="false">IFERROR(INDEX('Model Pricing'!$E$2:$E$52,MATCH(B46,'Model Pricing'!$A$2:$A$52,0)),"")</f>
        <v/>
      </c>
      <c r="F46" s="10" t="str">
        <f aca="false">IFERROR(INDEX('Model Pricing'!$O$2:$O$52,MATCH(B46,'Model Pricing'!$A$2:$A$52,0)),"")</f>
        <v/>
      </c>
      <c r="G46" s="10" t="n">
        <f aca="false">IFERROR(C46*D46,"")</f>
        <v>0</v>
      </c>
      <c r="H46" s="10" t="str">
        <f aca="false">IFERROR(C46*F46,"")</f>
        <v/>
      </c>
      <c r="I46" s="10" t="str">
        <f aca="false">IFERROR(G46-H46,"")</f>
        <v/>
      </c>
      <c r="J46" s="21"/>
    </row>
    <row r="47" customFormat="false" ht="15" hidden="false" customHeight="true" outlineLevel="0" collapsed="false">
      <c r="A47" s="20"/>
      <c r="B47" s="21"/>
      <c r="C47" s="21"/>
      <c r="D47" s="21"/>
      <c r="E47" s="10" t="str">
        <f aca="false">IFERROR(INDEX('Model Pricing'!$E$2:$E$52,MATCH(B47,'Model Pricing'!$A$2:$A$52,0)),"")</f>
        <v/>
      </c>
      <c r="F47" s="10" t="str">
        <f aca="false">IFERROR(INDEX('Model Pricing'!$O$2:$O$52,MATCH(B47,'Model Pricing'!$A$2:$A$52,0)),"")</f>
        <v/>
      </c>
      <c r="G47" s="10" t="n">
        <f aca="false">IFERROR(C47*D47,"")</f>
        <v>0</v>
      </c>
      <c r="H47" s="10" t="str">
        <f aca="false">IFERROR(C47*F47,"")</f>
        <v/>
      </c>
      <c r="I47" s="10" t="str">
        <f aca="false">IFERROR(G47-H47,"")</f>
        <v/>
      </c>
      <c r="J47" s="21"/>
    </row>
    <row r="48" customFormat="false" ht="15" hidden="false" customHeight="true" outlineLevel="0" collapsed="false">
      <c r="A48" s="20"/>
      <c r="B48" s="21"/>
      <c r="C48" s="21"/>
      <c r="D48" s="21"/>
      <c r="E48" s="10" t="str">
        <f aca="false">IFERROR(INDEX('Model Pricing'!$E$2:$E$52,MATCH(B48,'Model Pricing'!$A$2:$A$52,0)),"")</f>
        <v/>
      </c>
      <c r="F48" s="10" t="str">
        <f aca="false">IFERROR(INDEX('Model Pricing'!$O$2:$O$52,MATCH(B48,'Model Pricing'!$A$2:$A$52,0)),"")</f>
        <v/>
      </c>
      <c r="G48" s="10" t="n">
        <f aca="false">IFERROR(C48*D48,"")</f>
        <v>0</v>
      </c>
      <c r="H48" s="10" t="str">
        <f aca="false">IFERROR(C48*F48,"")</f>
        <v/>
      </c>
      <c r="I48" s="10" t="str">
        <f aca="false">IFERROR(G48-H48,"")</f>
        <v/>
      </c>
      <c r="J48" s="21"/>
    </row>
    <row r="49" customFormat="false" ht="15" hidden="false" customHeight="true" outlineLevel="0" collapsed="false">
      <c r="A49" s="20"/>
      <c r="B49" s="21"/>
      <c r="C49" s="21"/>
      <c r="D49" s="21"/>
      <c r="E49" s="10" t="str">
        <f aca="false">IFERROR(INDEX('Model Pricing'!$E$2:$E$52,MATCH(B49,'Model Pricing'!$A$2:$A$52,0)),"")</f>
        <v/>
      </c>
      <c r="F49" s="10" t="str">
        <f aca="false">IFERROR(INDEX('Model Pricing'!$O$2:$O$52,MATCH(B49,'Model Pricing'!$A$2:$A$52,0)),"")</f>
        <v/>
      </c>
      <c r="G49" s="10" t="n">
        <f aca="false">IFERROR(C49*D49,"")</f>
        <v>0</v>
      </c>
      <c r="H49" s="10" t="str">
        <f aca="false">IFERROR(C49*F49,"")</f>
        <v/>
      </c>
      <c r="I49" s="10" t="str">
        <f aca="false">IFERROR(G49-H49,"")</f>
        <v/>
      </c>
      <c r="J49" s="21"/>
    </row>
    <row r="50" customFormat="false" ht="15" hidden="false" customHeight="true" outlineLevel="0" collapsed="false">
      <c r="A50" s="20"/>
      <c r="B50" s="21"/>
      <c r="C50" s="21"/>
      <c r="D50" s="21"/>
      <c r="E50" s="10" t="str">
        <f aca="false">IFERROR(INDEX('Model Pricing'!$E$2:$E$52,MATCH(B50,'Model Pricing'!$A$2:$A$52,0)),"")</f>
        <v/>
      </c>
      <c r="F50" s="10" t="str">
        <f aca="false">IFERROR(INDEX('Model Pricing'!$O$2:$O$52,MATCH(B50,'Model Pricing'!$A$2:$A$52,0)),"")</f>
        <v/>
      </c>
      <c r="G50" s="10" t="n">
        <f aca="false">IFERROR(C50*D50,"")</f>
        <v>0</v>
      </c>
      <c r="H50" s="10" t="str">
        <f aca="false">IFERROR(C50*F50,"")</f>
        <v/>
      </c>
      <c r="I50" s="10" t="str">
        <f aca="false">IFERROR(G50-H50,"")</f>
        <v/>
      </c>
      <c r="J50" s="21"/>
    </row>
    <row r="51" customFormat="false" ht="15" hidden="false" customHeight="true" outlineLevel="0" collapsed="false">
      <c r="A51" s="20"/>
      <c r="B51" s="21"/>
      <c r="C51" s="21"/>
      <c r="D51" s="21"/>
      <c r="E51" s="10" t="str">
        <f aca="false">IFERROR(INDEX('Model Pricing'!$E$2:$E$52,MATCH(B51,'Model Pricing'!$A$2:$A$52,0)),"")</f>
        <v/>
      </c>
      <c r="F51" s="10" t="str">
        <f aca="false">IFERROR(INDEX('Model Pricing'!$O$2:$O$52,MATCH(B51,'Model Pricing'!$A$2:$A$52,0)),"")</f>
        <v/>
      </c>
      <c r="G51" s="10" t="n">
        <f aca="false">IFERROR(C51*D51,"")</f>
        <v>0</v>
      </c>
      <c r="H51" s="10" t="str">
        <f aca="false">IFERROR(C51*F51,"")</f>
        <v/>
      </c>
      <c r="I51" s="10" t="str">
        <f aca="false">IFERROR(G51-H51,"")</f>
        <v/>
      </c>
      <c r="J51" s="21"/>
    </row>
    <row r="52" customFormat="false" ht="15" hidden="false" customHeight="true" outlineLevel="0" collapsed="false">
      <c r="A52" s="20"/>
      <c r="B52" s="21"/>
      <c r="C52" s="21"/>
      <c r="D52" s="21"/>
      <c r="E52" s="10" t="str">
        <f aca="false">IFERROR(INDEX('Model Pricing'!$E$2:$E$52,MATCH(B52,'Model Pricing'!$A$2:$A$52,0)),"")</f>
        <v/>
      </c>
      <c r="F52" s="10" t="str">
        <f aca="false">IFERROR(INDEX('Model Pricing'!$O$2:$O$52,MATCH(B52,'Model Pricing'!$A$2:$A$52,0)),"")</f>
        <v/>
      </c>
      <c r="G52" s="10" t="n">
        <f aca="false">IFERROR(C52*D52,"")</f>
        <v>0</v>
      </c>
      <c r="H52" s="10" t="str">
        <f aca="false">IFERROR(C52*F52,"")</f>
        <v/>
      </c>
      <c r="I52" s="10" t="str">
        <f aca="false">IFERROR(G52-H52,"")</f>
        <v/>
      </c>
      <c r="J52" s="21"/>
    </row>
    <row r="53" customFormat="false" ht="15" hidden="false" customHeight="true" outlineLevel="0" collapsed="false">
      <c r="A53" s="20"/>
      <c r="B53" s="21"/>
      <c r="C53" s="21"/>
      <c r="D53" s="21"/>
      <c r="E53" s="10" t="str">
        <f aca="false">IFERROR(INDEX('Model Pricing'!$E$2:$E$52,MATCH(B53,'Model Pricing'!$A$2:$A$52,0)),"")</f>
        <v/>
      </c>
      <c r="F53" s="10" t="str">
        <f aca="false">IFERROR(INDEX('Model Pricing'!$O$2:$O$52,MATCH(B53,'Model Pricing'!$A$2:$A$52,0)),"")</f>
        <v/>
      </c>
      <c r="G53" s="10" t="n">
        <f aca="false">IFERROR(C53*D53,"")</f>
        <v>0</v>
      </c>
      <c r="H53" s="10" t="str">
        <f aca="false">IFERROR(C53*F53,"")</f>
        <v/>
      </c>
      <c r="I53" s="10" t="str">
        <f aca="false">IFERROR(G53-H53,"")</f>
        <v/>
      </c>
      <c r="J53" s="21"/>
    </row>
    <row r="54" customFormat="false" ht="15" hidden="false" customHeight="true" outlineLevel="0" collapsed="false">
      <c r="A54" s="20"/>
      <c r="B54" s="21"/>
      <c r="C54" s="21"/>
      <c r="D54" s="21"/>
      <c r="E54" s="10" t="str">
        <f aca="false">IFERROR(INDEX('Model Pricing'!$E$2:$E$52,MATCH(B54,'Model Pricing'!$A$2:$A$52,0)),"")</f>
        <v/>
      </c>
      <c r="F54" s="10" t="str">
        <f aca="false">IFERROR(INDEX('Model Pricing'!$O$2:$O$52,MATCH(B54,'Model Pricing'!$A$2:$A$52,0)),"")</f>
        <v/>
      </c>
      <c r="G54" s="10" t="n">
        <f aca="false">IFERROR(C54*D54,"")</f>
        <v>0</v>
      </c>
      <c r="H54" s="10" t="str">
        <f aca="false">IFERROR(C54*F54,"")</f>
        <v/>
      </c>
      <c r="I54" s="10" t="str">
        <f aca="false">IFERROR(G54-H54,"")</f>
        <v/>
      </c>
      <c r="J54" s="21"/>
    </row>
    <row r="55" customFormat="false" ht="15" hidden="false" customHeight="true" outlineLevel="0" collapsed="false">
      <c r="A55" s="20"/>
      <c r="B55" s="21"/>
      <c r="C55" s="21"/>
      <c r="D55" s="21"/>
      <c r="E55" s="10" t="str">
        <f aca="false">IFERROR(INDEX('Model Pricing'!$E$2:$E$52,MATCH(B55,'Model Pricing'!$A$2:$A$52,0)),"")</f>
        <v/>
      </c>
      <c r="F55" s="10" t="str">
        <f aca="false">IFERROR(INDEX('Model Pricing'!$O$2:$O$52,MATCH(B55,'Model Pricing'!$A$2:$A$52,0)),"")</f>
        <v/>
      </c>
      <c r="G55" s="10" t="n">
        <f aca="false">IFERROR(C55*D55,"")</f>
        <v>0</v>
      </c>
      <c r="H55" s="10" t="str">
        <f aca="false">IFERROR(C55*F55,"")</f>
        <v/>
      </c>
      <c r="I55" s="10" t="str">
        <f aca="false">IFERROR(G55-H55,"")</f>
        <v/>
      </c>
      <c r="J55" s="21"/>
    </row>
    <row r="56" customFormat="false" ht="15" hidden="false" customHeight="true" outlineLevel="0" collapsed="false">
      <c r="A56" s="20"/>
      <c r="B56" s="21"/>
      <c r="C56" s="21"/>
      <c r="D56" s="21"/>
      <c r="E56" s="10" t="str">
        <f aca="false">IFERROR(INDEX('Model Pricing'!$E$2:$E$52,MATCH(B56,'Model Pricing'!$A$2:$A$52,0)),"")</f>
        <v/>
      </c>
      <c r="F56" s="10" t="str">
        <f aca="false">IFERROR(INDEX('Model Pricing'!$O$2:$O$52,MATCH(B56,'Model Pricing'!$A$2:$A$52,0)),"")</f>
        <v/>
      </c>
      <c r="G56" s="10" t="n">
        <f aca="false">IFERROR(C56*D56,"")</f>
        <v>0</v>
      </c>
      <c r="H56" s="10" t="str">
        <f aca="false">IFERROR(C56*F56,"")</f>
        <v/>
      </c>
      <c r="I56" s="10" t="str">
        <f aca="false">IFERROR(G56-H56,"")</f>
        <v/>
      </c>
      <c r="J56" s="21"/>
    </row>
    <row r="57" customFormat="false" ht="15" hidden="false" customHeight="true" outlineLevel="0" collapsed="false">
      <c r="A57" s="20"/>
      <c r="B57" s="21"/>
      <c r="C57" s="21"/>
      <c r="D57" s="21"/>
      <c r="E57" s="10" t="str">
        <f aca="false">IFERROR(INDEX('Model Pricing'!$E$2:$E$52,MATCH(B57,'Model Pricing'!$A$2:$A$52,0)),"")</f>
        <v/>
      </c>
      <c r="F57" s="10" t="str">
        <f aca="false">IFERROR(INDEX('Model Pricing'!$O$2:$O$52,MATCH(B57,'Model Pricing'!$A$2:$A$52,0)),"")</f>
        <v/>
      </c>
      <c r="G57" s="10" t="n">
        <f aca="false">IFERROR(C57*D57,"")</f>
        <v>0</v>
      </c>
      <c r="H57" s="10" t="str">
        <f aca="false">IFERROR(C57*F57,"")</f>
        <v/>
      </c>
      <c r="I57" s="10" t="str">
        <f aca="false">IFERROR(G57-H57,"")</f>
        <v/>
      </c>
      <c r="J57" s="21"/>
    </row>
    <row r="58" customFormat="false" ht="15" hidden="false" customHeight="true" outlineLevel="0" collapsed="false">
      <c r="A58" s="20"/>
      <c r="B58" s="21"/>
      <c r="C58" s="21"/>
      <c r="D58" s="21"/>
      <c r="E58" s="10" t="str">
        <f aca="false">IFERROR(INDEX('Model Pricing'!$E$2:$E$52,MATCH(B58,'Model Pricing'!$A$2:$A$52,0)),"")</f>
        <v/>
      </c>
      <c r="F58" s="10" t="str">
        <f aca="false">IFERROR(INDEX('Model Pricing'!$O$2:$O$52,MATCH(B58,'Model Pricing'!$A$2:$A$52,0)),"")</f>
        <v/>
      </c>
      <c r="G58" s="10" t="n">
        <f aca="false">IFERROR(C58*D58,"")</f>
        <v>0</v>
      </c>
      <c r="H58" s="10" t="str">
        <f aca="false">IFERROR(C58*F58,"")</f>
        <v/>
      </c>
      <c r="I58" s="10" t="str">
        <f aca="false">IFERROR(G58-H58,"")</f>
        <v/>
      </c>
      <c r="J58" s="21"/>
    </row>
    <row r="59" customFormat="false" ht="15" hidden="false" customHeight="true" outlineLevel="0" collapsed="false">
      <c r="A59" s="20"/>
      <c r="B59" s="21"/>
      <c r="C59" s="21"/>
      <c r="D59" s="21"/>
      <c r="E59" s="10" t="str">
        <f aca="false">IFERROR(INDEX('Model Pricing'!$E$2:$E$52,MATCH(B59,'Model Pricing'!$A$2:$A$52,0)),"")</f>
        <v/>
      </c>
      <c r="F59" s="10" t="str">
        <f aca="false">IFERROR(INDEX('Model Pricing'!$O$2:$O$52,MATCH(B59,'Model Pricing'!$A$2:$A$52,0)),"")</f>
        <v/>
      </c>
      <c r="G59" s="10" t="n">
        <f aca="false">IFERROR(C59*D59,"")</f>
        <v>0</v>
      </c>
      <c r="H59" s="10" t="str">
        <f aca="false">IFERROR(C59*F59,"")</f>
        <v/>
      </c>
      <c r="I59" s="10" t="str">
        <f aca="false">IFERROR(G59-H59,"")</f>
        <v/>
      </c>
      <c r="J59" s="21"/>
    </row>
    <row r="60" customFormat="false" ht="15" hidden="false" customHeight="true" outlineLevel="0" collapsed="false">
      <c r="A60" s="20"/>
      <c r="B60" s="21"/>
      <c r="C60" s="21"/>
      <c r="D60" s="21"/>
      <c r="E60" s="10" t="str">
        <f aca="false">IFERROR(INDEX('Model Pricing'!$E$2:$E$52,MATCH(B60,'Model Pricing'!$A$2:$A$52,0)),"")</f>
        <v/>
      </c>
      <c r="F60" s="10" t="str">
        <f aca="false">IFERROR(INDEX('Model Pricing'!$O$2:$O$52,MATCH(B60,'Model Pricing'!$A$2:$A$52,0)),"")</f>
        <v/>
      </c>
      <c r="G60" s="10" t="n">
        <f aca="false">IFERROR(C60*D60,"")</f>
        <v>0</v>
      </c>
      <c r="H60" s="10" t="str">
        <f aca="false">IFERROR(C60*F60,"")</f>
        <v/>
      </c>
      <c r="I60" s="10" t="str">
        <f aca="false">IFERROR(G60-H60,"")</f>
        <v/>
      </c>
      <c r="J60" s="21"/>
    </row>
    <row r="61" customFormat="false" ht="15" hidden="false" customHeight="true" outlineLevel="0" collapsed="false">
      <c r="A61" s="20"/>
      <c r="B61" s="21"/>
      <c r="C61" s="21"/>
      <c r="D61" s="21"/>
      <c r="E61" s="10" t="str">
        <f aca="false">IFERROR(INDEX('Model Pricing'!$E$2:$E$52,MATCH(B61,'Model Pricing'!$A$2:$A$52,0)),"")</f>
        <v/>
      </c>
      <c r="F61" s="10" t="str">
        <f aca="false">IFERROR(INDEX('Model Pricing'!$O$2:$O$52,MATCH(B61,'Model Pricing'!$A$2:$A$52,0)),"")</f>
        <v/>
      </c>
      <c r="G61" s="10" t="n">
        <f aca="false">IFERROR(C61*D61,"")</f>
        <v>0</v>
      </c>
      <c r="H61" s="10" t="str">
        <f aca="false">IFERROR(C61*F61,"")</f>
        <v/>
      </c>
      <c r="I61" s="10" t="str">
        <f aca="false">IFERROR(G61-H61,"")</f>
        <v/>
      </c>
      <c r="J61" s="21"/>
    </row>
    <row r="62" customFormat="false" ht="15" hidden="false" customHeight="true" outlineLevel="0" collapsed="false">
      <c r="A62" s="20"/>
      <c r="B62" s="21"/>
      <c r="C62" s="21"/>
      <c r="D62" s="21"/>
      <c r="E62" s="10" t="str">
        <f aca="false">IFERROR(INDEX('Model Pricing'!$E$2:$E$52,MATCH(B62,'Model Pricing'!$A$2:$A$52,0)),"")</f>
        <v/>
      </c>
      <c r="F62" s="10" t="str">
        <f aca="false">IFERROR(INDEX('Model Pricing'!$O$2:$O$52,MATCH(B62,'Model Pricing'!$A$2:$A$52,0)),"")</f>
        <v/>
      </c>
      <c r="G62" s="10" t="n">
        <f aca="false">IFERROR(C62*D62,"")</f>
        <v>0</v>
      </c>
      <c r="H62" s="10" t="str">
        <f aca="false">IFERROR(C62*F62,"")</f>
        <v/>
      </c>
      <c r="I62" s="10" t="str">
        <f aca="false">IFERROR(G62-H62,"")</f>
        <v/>
      </c>
      <c r="J62" s="21"/>
    </row>
    <row r="63" customFormat="false" ht="15" hidden="false" customHeight="true" outlineLevel="0" collapsed="false">
      <c r="A63" s="20"/>
      <c r="B63" s="21"/>
      <c r="C63" s="21"/>
      <c r="D63" s="21"/>
      <c r="E63" s="10" t="str">
        <f aca="false">IFERROR(INDEX('Model Pricing'!$E$2:$E$52,MATCH(B63,'Model Pricing'!$A$2:$A$52,0)),"")</f>
        <v/>
      </c>
      <c r="F63" s="10" t="str">
        <f aca="false">IFERROR(INDEX('Model Pricing'!$O$2:$O$52,MATCH(B63,'Model Pricing'!$A$2:$A$52,0)),"")</f>
        <v/>
      </c>
      <c r="G63" s="10" t="n">
        <f aca="false">IFERROR(C63*D63,"")</f>
        <v>0</v>
      </c>
      <c r="H63" s="10" t="str">
        <f aca="false">IFERROR(C63*F63,"")</f>
        <v/>
      </c>
      <c r="I63" s="10" t="str">
        <f aca="false">IFERROR(G63-H63,"")</f>
        <v/>
      </c>
      <c r="J63" s="21"/>
    </row>
    <row r="64" customFormat="false" ht="15" hidden="false" customHeight="true" outlineLevel="0" collapsed="false">
      <c r="A64" s="20"/>
      <c r="B64" s="21"/>
      <c r="C64" s="21"/>
      <c r="D64" s="21"/>
      <c r="E64" s="10" t="str">
        <f aca="false">IFERROR(INDEX('Model Pricing'!$E$2:$E$52,MATCH(B64,'Model Pricing'!$A$2:$A$52,0)),"")</f>
        <v/>
      </c>
      <c r="F64" s="10" t="str">
        <f aca="false">IFERROR(INDEX('Model Pricing'!$O$2:$O$52,MATCH(B64,'Model Pricing'!$A$2:$A$52,0)),"")</f>
        <v/>
      </c>
      <c r="G64" s="10" t="n">
        <f aca="false">IFERROR(C64*D64,"")</f>
        <v>0</v>
      </c>
      <c r="H64" s="10" t="str">
        <f aca="false">IFERROR(C64*F64,"")</f>
        <v/>
      </c>
      <c r="I64" s="10" t="str">
        <f aca="false">IFERROR(G64-H64,"")</f>
        <v/>
      </c>
      <c r="J64" s="21"/>
    </row>
    <row r="65" customFormat="false" ht="15" hidden="false" customHeight="true" outlineLevel="0" collapsed="false">
      <c r="A65" s="20"/>
      <c r="B65" s="21"/>
      <c r="C65" s="21"/>
      <c r="D65" s="21"/>
      <c r="E65" s="10" t="str">
        <f aca="false">IFERROR(INDEX('Model Pricing'!$E$2:$E$52,MATCH(B65,'Model Pricing'!$A$2:$A$52,0)),"")</f>
        <v/>
      </c>
      <c r="F65" s="10" t="str">
        <f aca="false">IFERROR(INDEX('Model Pricing'!$O$2:$O$52,MATCH(B65,'Model Pricing'!$A$2:$A$52,0)),"")</f>
        <v/>
      </c>
      <c r="G65" s="10" t="n">
        <f aca="false">IFERROR(C65*D65,"")</f>
        <v>0</v>
      </c>
      <c r="H65" s="10" t="str">
        <f aca="false">IFERROR(C65*F65,"")</f>
        <v/>
      </c>
      <c r="I65" s="10" t="str">
        <f aca="false">IFERROR(G65-H65,"")</f>
        <v/>
      </c>
      <c r="J65" s="21"/>
    </row>
    <row r="66" customFormat="false" ht="15" hidden="false" customHeight="true" outlineLevel="0" collapsed="false">
      <c r="A66" s="20"/>
      <c r="B66" s="21"/>
      <c r="C66" s="21"/>
      <c r="D66" s="21"/>
      <c r="E66" s="10" t="str">
        <f aca="false">IFERROR(INDEX('Model Pricing'!$E$2:$E$52,MATCH(B66,'Model Pricing'!$A$2:$A$52,0)),"")</f>
        <v/>
      </c>
      <c r="F66" s="10" t="str">
        <f aca="false">IFERROR(INDEX('Model Pricing'!$O$2:$O$52,MATCH(B66,'Model Pricing'!$A$2:$A$52,0)),"")</f>
        <v/>
      </c>
      <c r="G66" s="10" t="n">
        <f aca="false">IFERROR(C66*D66,"")</f>
        <v>0</v>
      </c>
      <c r="H66" s="10" t="str">
        <f aca="false">IFERROR(C66*F66,"")</f>
        <v/>
      </c>
      <c r="I66" s="10" t="str">
        <f aca="false">IFERROR(G66-H66,"")</f>
        <v/>
      </c>
      <c r="J66" s="21"/>
    </row>
    <row r="67" customFormat="false" ht="15" hidden="false" customHeight="true" outlineLevel="0" collapsed="false">
      <c r="A67" s="20"/>
      <c r="B67" s="21"/>
      <c r="C67" s="21"/>
      <c r="D67" s="21"/>
      <c r="E67" s="10" t="str">
        <f aca="false">IFERROR(INDEX('Model Pricing'!$E$2:$E$52,MATCH(B67,'Model Pricing'!$A$2:$A$52,0)),"")</f>
        <v/>
      </c>
      <c r="F67" s="10" t="str">
        <f aca="false">IFERROR(INDEX('Model Pricing'!$O$2:$O$52,MATCH(B67,'Model Pricing'!$A$2:$A$52,0)),"")</f>
        <v/>
      </c>
      <c r="G67" s="10" t="n">
        <f aca="false">IFERROR(C67*D67,"")</f>
        <v>0</v>
      </c>
      <c r="H67" s="10" t="str">
        <f aca="false">IFERROR(C67*F67,"")</f>
        <v/>
      </c>
      <c r="I67" s="10" t="str">
        <f aca="false">IFERROR(G67-H67,"")</f>
        <v/>
      </c>
      <c r="J67" s="21"/>
    </row>
    <row r="68" customFormat="false" ht="15" hidden="false" customHeight="true" outlineLevel="0" collapsed="false">
      <c r="A68" s="20"/>
      <c r="B68" s="21"/>
      <c r="C68" s="21"/>
      <c r="D68" s="21"/>
      <c r="E68" s="10" t="str">
        <f aca="false">IFERROR(INDEX('Model Pricing'!$E$2:$E$52,MATCH(B68,'Model Pricing'!$A$2:$A$52,0)),"")</f>
        <v/>
      </c>
      <c r="F68" s="10" t="str">
        <f aca="false">IFERROR(INDEX('Model Pricing'!$O$2:$O$52,MATCH(B68,'Model Pricing'!$A$2:$A$52,0)),"")</f>
        <v/>
      </c>
      <c r="G68" s="10" t="n">
        <f aca="false">IFERROR(C68*D68,"")</f>
        <v>0</v>
      </c>
      <c r="H68" s="10" t="str">
        <f aca="false">IFERROR(C68*F68,"")</f>
        <v/>
      </c>
      <c r="I68" s="10" t="str">
        <f aca="false">IFERROR(G68-H68,"")</f>
        <v/>
      </c>
      <c r="J68" s="21"/>
    </row>
    <row r="69" customFormat="false" ht="15" hidden="false" customHeight="true" outlineLevel="0" collapsed="false">
      <c r="A69" s="20"/>
      <c r="B69" s="21"/>
      <c r="C69" s="21"/>
      <c r="D69" s="21"/>
      <c r="E69" s="10" t="str">
        <f aca="false">IFERROR(INDEX('Model Pricing'!$E$2:$E$52,MATCH(B69,'Model Pricing'!$A$2:$A$52,0)),"")</f>
        <v/>
      </c>
      <c r="F69" s="10" t="str">
        <f aca="false">IFERROR(INDEX('Model Pricing'!$O$2:$O$52,MATCH(B69,'Model Pricing'!$A$2:$A$52,0)),"")</f>
        <v/>
      </c>
      <c r="G69" s="10" t="n">
        <f aca="false">IFERROR(C69*D69,"")</f>
        <v>0</v>
      </c>
      <c r="H69" s="10" t="str">
        <f aca="false">IFERROR(C69*F69,"")</f>
        <v/>
      </c>
      <c r="I69" s="10" t="str">
        <f aca="false">IFERROR(G69-H69,"")</f>
        <v/>
      </c>
      <c r="J69" s="21"/>
    </row>
    <row r="70" customFormat="false" ht="15" hidden="false" customHeight="true" outlineLevel="0" collapsed="false">
      <c r="A70" s="20"/>
      <c r="B70" s="21"/>
      <c r="C70" s="21"/>
      <c r="D70" s="21"/>
      <c r="E70" s="10" t="str">
        <f aca="false">IFERROR(INDEX('Model Pricing'!$E$2:$E$52,MATCH(B70,'Model Pricing'!$A$2:$A$52,0)),"")</f>
        <v/>
      </c>
      <c r="F70" s="10" t="str">
        <f aca="false">IFERROR(INDEX('Model Pricing'!$O$2:$O$52,MATCH(B70,'Model Pricing'!$A$2:$A$52,0)),"")</f>
        <v/>
      </c>
      <c r="G70" s="10" t="n">
        <f aca="false">IFERROR(C70*D70,"")</f>
        <v>0</v>
      </c>
      <c r="H70" s="10" t="str">
        <f aca="false">IFERROR(C70*F70,"")</f>
        <v/>
      </c>
      <c r="I70" s="10" t="str">
        <f aca="false">IFERROR(G70-H70,"")</f>
        <v/>
      </c>
      <c r="J70" s="21"/>
    </row>
    <row r="71" customFormat="false" ht="15" hidden="false" customHeight="true" outlineLevel="0" collapsed="false">
      <c r="A71" s="20"/>
      <c r="B71" s="21"/>
      <c r="C71" s="21"/>
      <c r="D71" s="21"/>
      <c r="E71" s="10" t="str">
        <f aca="false">IFERROR(INDEX('Model Pricing'!$E$2:$E$52,MATCH(B71,'Model Pricing'!$A$2:$A$52,0)),"")</f>
        <v/>
      </c>
      <c r="F71" s="10" t="str">
        <f aca="false">IFERROR(INDEX('Model Pricing'!$O$2:$O$52,MATCH(B71,'Model Pricing'!$A$2:$A$52,0)),"")</f>
        <v/>
      </c>
      <c r="G71" s="10" t="n">
        <f aca="false">IFERROR(C71*D71,"")</f>
        <v>0</v>
      </c>
      <c r="H71" s="10" t="str">
        <f aca="false">IFERROR(C71*F71,"")</f>
        <v/>
      </c>
      <c r="I71" s="10" t="str">
        <f aca="false">IFERROR(G71-H71,"")</f>
        <v/>
      </c>
      <c r="J71" s="21"/>
    </row>
    <row r="72" customFormat="false" ht="15" hidden="false" customHeight="true" outlineLevel="0" collapsed="false">
      <c r="A72" s="20"/>
      <c r="B72" s="21"/>
      <c r="C72" s="21"/>
      <c r="D72" s="21"/>
      <c r="E72" s="10" t="str">
        <f aca="false">IFERROR(INDEX('Model Pricing'!$E$2:$E$52,MATCH(B72,'Model Pricing'!$A$2:$A$52,0)),"")</f>
        <v/>
      </c>
      <c r="F72" s="10" t="str">
        <f aca="false">IFERROR(INDEX('Model Pricing'!$O$2:$O$52,MATCH(B72,'Model Pricing'!$A$2:$A$52,0)),"")</f>
        <v/>
      </c>
      <c r="G72" s="10" t="n">
        <f aca="false">IFERROR(C72*D72,"")</f>
        <v>0</v>
      </c>
      <c r="H72" s="10" t="str">
        <f aca="false">IFERROR(C72*F72,"")</f>
        <v/>
      </c>
      <c r="I72" s="10" t="str">
        <f aca="false">IFERROR(G72-H72,"")</f>
        <v/>
      </c>
      <c r="J72" s="21"/>
    </row>
    <row r="73" customFormat="false" ht="15" hidden="false" customHeight="true" outlineLevel="0" collapsed="false">
      <c r="A73" s="20"/>
      <c r="B73" s="21"/>
      <c r="C73" s="21"/>
      <c r="D73" s="21"/>
      <c r="E73" s="10" t="str">
        <f aca="false">IFERROR(INDEX('Model Pricing'!$E$2:$E$52,MATCH(B73,'Model Pricing'!$A$2:$A$52,0)),"")</f>
        <v/>
      </c>
      <c r="F73" s="10" t="str">
        <f aca="false">IFERROR(INDEX('Model Pricing'!$O$2:$O$52,MATCH(B73,'Model Pricing'!$A$2:$A$52,0)),"")</f>
        <v/>
      </c>
      <c r="G73" s="10" t="n">
        <f aca="false">IFERROR(C73*D73,"")</f>
        <v>0</v>
      </c>
      <c r="H73" s="10" t="str">
        <f aca="false">IFERROR(C73*F73,"")</f>
        <v/>
      </c>
      <c r="I73" s="10" t="str">
        <f aca="false">IFERROR(G73-H73,"")</f>
        <v/>
      </c>
      <c r="J73" s="21"/>
    </row>
    <row r="74" customFormat="false" ht="15" hidden="false" customHeight="true" outlineLevel="0" collapsed="false">
      <c r="A74" s="20"/>
      <c r="B74" s="21"/>
      <c r="C74" s="21"/>
      <c r="D74" s="21"/>
      <c r="E74" s="10" t="str">
        <f aca="false">IFERROR(INDEX('Model Pricing'!$E$2:$E$52,MATCH(B74,'Model Pricing'!$A$2:$A$52,0)),"")</f>
        <v/>
      </c>
      <c r="F74" s="10" t="str">
        <f aca="false">IFERROR(INDEX('Model Pricing'!$O$2:$O$52,MATCH(B74,'Model Pricing'!$A$2:$A$52,0)),"")</f>
        <v/>
      </c>
      <c r="G74" s="10" t="n">
        <f aca="false">IFERROR(C74*D74,"")</f>
        <v>0</v>
      </c>
      <c r="H74" s="10" t="str">
        <f aca="false">IFERROR(C74*F74,"")</f>
        <v/>
      </c>
      <c r="I74" s="10" t="str">
        <f aca="false">IFERROR(G74-H74,"")</f>
        <v/>
      </c>
      <c r="J74" s="21"/>
    </row>
    <row r="75" customFormat="false" ht="15" hidden="false" customHeight="true" outlineLevel="0" collapsed="false">
      <c r="A75" s="20"/>
      <c r="B75" s="21"/>
      <c r="C75" s="21"/>
      <c r="D75" s="21"/>
      <c r="E75" s="10" t="str">
        <f aca="false">IFERROR(INDEX('Model Pricing'!$E$2:$E$52,MATCH(B75,'Model Pricing'!$A$2:$A$52,0)),"")</f>
        <v/>
      </c>
      <c r="F75" s="10" t="str">
        <f aca="false">IFERROR(INDEX('Model Pricing'!$O$2:$O$52,MATCH(B75,'Model Pricing'!$A$2:$A$52,0)),"")</f>
        <v/>
      </c>
      <c r="G75" s="10" t="n">
        <f aca="false">IFERROR(C75*D75,"")</f>
        <v>0</v>
      </c>
      <c r="H75" s="10" t="str">
        <f aca="false">IFERROR(C75*F75,"")</f>
        <v/>
      </c>
      <c r="I75" s="10" t="str">
        <f aca="false">IFERROR(G75-H75,"")</f>
        <v/>
      </c>
      <c r="J75" s="21"/>
    </row>
    <row r="76" customFormat="false" ht="15" hidden="false" customHeight="true" outlineLevel="0" collapsed="false">
      <c r="A76" s="20"/>
      <c r="B76" s="21"/>
      <c r="C76" s="21"/>
      <c r="D76" s="21"/>
      <c r="E76" s="10" t="str">
        <f aca="false">IFERROR(INDEX('Model Pricing'!$E$2:$E$52,MATCH(B76,'Model Pricing'!$A$2:$A$52,0)),"")</f>
        <v/>
      </c>
      <c r="F76" s="10" t="str">
        <f aca="false">IFERROR(INDEX('Model Pricing'!$O$2:$O$52,MATCH(B76,'Model Pricing'!$A$2:$A$52,0)),"")</f>
        <v/>
      </c>
      <c r="G76" s="10" t="n">
        <f aca="false">IFERROR(C76*D76,"")</f>
        <v>0</v>
      </c>
      <c r="H76" s="10" t="str">
        <f aca="false">IFERROR(C76*F76,"")</f>
        <v/>
      </c>
      <c r="I76" s="10" t="str">
        <f aca="false">IFERROR(G76-H76,"")</f>
        <v/>
      </c>
      <c r="J76" s="21"/>
    </row>
    <row r="77" customFormat="false" ht="15" hidden="false" customHeight="true" outlineLevel="0" collapsed="false">
      <c r="A77" s="20"/>
      <c r="B77" s="21"/>
      <c r="C77" s="21"/>
      <c r="D77" s="21"/>
      <c r="E77" s="10" t="str">
        <f aca="false">IFERROR(INDEX('Model Pricing'!$E$2:$E$52,MATCH(B77,'Model Pricing'!$A$2:$A$52,0)),"")</f>
        <v/>
      </c>
      <c r="F77" s="10" t="str">
        <f aca="false">IFERROR(INDEX('Model Pricing'!$O$2:$O$52,MATCH(B77,'Model Pricing'!$A$2:$A$52,0)),"")</f>
        <v/>
      </c>
      <c r="G77" s="10" t="n">
        <f aca="false">IFERROR(C77*D77,"")</f>
        <v>0</v>
      </c>
      <c r="H77" s="10" t="str">
        <f aca="false">IFERROR(C77*F77,"")</f>
        <v/>
      </c>
      <c r="I77" s="10" t="str">
        <f aca="false">IFERROR(G77-H77,"")</f>
        <v/>
      </c>
      <c r="J77" s="21"/>
    </row>
    <row r="78" customFormat="false" ht="15" hidden="false" customHeight="true" outlineLevel="0" collapsed="false">
      <c r="A78" s="20"/>
      <c r="B78" s="21"/>
      <c r="C78" s="21"/>
      <c r="D78" s="21"/>
      <c r="E78" s="10" t="str">
        <f aca="false">IFERROR(INDEX('Model Pricing'!$E$2:$E$52,MATCH(B78,'Model Pricing'!$A$2:$A$52,0)),"")</f>
        <v/>
      </c>
      <c r="F78" s="10" t="str">
        <f aca="false">IFERROR(INDEX('Model Pricing'!$O$2:$O$52,MATCH(B78,'Model Pricing'!$A$2:$A$52,0)),"")</f>
        <v/>
      </c>
      <c r="G78" s="10" t="n">
        <f aca="false">IFERROR(C78*D78,"")</f>
        <v>0</v>
      </c>
      <c r="H78" s="10" t="str">
        <f aca="false">IFERROR(C78*F78,"")</f>
        <v/>
      </c>
      <c r="I78" s="10" t="str">
        <f aca="false">IFERROR(G78-H78,"")</f>
        <v/>
      </c>
      <c r="J78" s="21"/>
    </row>
    <row r="79" customFormat="false" ht="15" hidden="false" customHeight="true" outlineLevel="0" collapsed="false">
      <c r="A79" s="20"/>
      <c r="B79" s="21"/>
      <c r="C79" s="21"/>
      <c r="D79" s="21"/>
      <c r="E79" s="10" t="str">
        <f aca="false">IFERROR(INDEX('Model Pricing'!$E$2:$E$52,MATCH(B79,'Model Pricing'!$A$2:$A$52,0)),"")</f>
        <v/>
      </c>
      <c r="F79" s="10" t="str">
        <f aca="false">IFERROR(INDEX('Model Pricing'!$O$2:$O$52,MATCH(B79,'Model Pricing'!$A$2:$A$52,0)),"")</f>
        <v/>
      </c>
      <c r="G79" s="10" t="n">
        <f aca="false">IFERROR(C79*D79,"")</f>
        <v>0</v>
      </c>
      <c r="H79" s="10" t="str">
        <f aca="false">IFERROR(C79*F79,"")</f>
        <v/>
      </c>
      <c r="I79" s="10" t="str">
        <f aca="false">IFERROR(G79-H79,"")</f>
        <v/>
      </c>
      <c r="J79" s="21"/>
    </row>
    <row r="80" customFormat="false" ht="15" hidden="false" customHeight="true" outlineLevel="0" collapsed="false">
      <c r="A80" s="20"/>
      <c r="B80" s="21"/>
      <c r="C80" s="21"/>
      <c r="D80" s="21"/>
      <c r="E80" s="10" t="str">
        <f aca="false">IFERROR(INDEX('Model Pricing'!$E$2:$E$52,MATCH(B80,'Model Pricing'!$A$2:$A$52,0)),"")</f>
        <v/>
      </c>
      <c r="F80" s="10" t="str">
        <f aca="false">IFERROR(INDEX('Model Pricing'!$O$2:$O$52,MATCH(B80,'Model Pricing'!$A$2:$A$52,0)),"")</f>
        <v/>
      </c>
      <c r="G80" s="10" t="n">
        <f aca="false">IFERROR(C80*D80,"")</f>
        <v>0</v>
      </c>
      <c r="H80" s="10" t="str">
        <f aca="false">IFERROR(C80*F80,"")</f>
        <v/>
      </c>
      <c r="I80" s="10" t="str">
        <f aca="false">IFERROR(G80-H80,"")</f>
        <v/>
      </c>
      <c r="J80" s="21"/>
    </row>
    <row r="81" customFormat="false" ht="15" hidden="false" customHeight="true" outlineLevel="0" collapsed="false">
      <c r="A81" s="20"/>
      <c r="B81" s="21"/>
      <c r="C81" s="21"/>
      <c r="D81" s="21"/>
      <c r="E81" s="10" t="str">
        <f aca="false">IFERROR(INDEX('Model Pricing'!$E$2:$E$52,MATCH(B81,'Model Pricing'!$A$2:$A$52,0)),"")</f>
        <v/>
      </c>
      <c r="F81" s="10" t="str">
        <f aca="false">IFERROR(INDEX('Model Pricing'!$O$2:$O$52,MATCH(B81,'Model Pricing'!$A$2:$A$52,0)),"")</f>
        <v/>
      </c>
      <c r="G81" s="10" t="n">
        <f aca="false">IFERROR(C81*D81,"")</f>
        <v>0</v>
      </c>
      <c r="H81" s="10" t="str">
        <f aca="false">IFERROR(C81*F81,"")</f>
        <v/>
      </c>
      <c r="I81" s="10" t="str">
        <f aca="false">IFERROR(G81-H81,"")</f>
        <v/>
      </c>
      <c r="J81" s="21"/>
    </row>
    <row r="82" customFormat="false" ht="15" hidden="false" customHeight="true" outlineLevel="0" collapsed="false">
      <c r="A82" s="20"/>
      <c r="B82" s="21"/>
      <c r="C82" s="21"/>
      <c r="D82" s="21"/>
      <c r="E82" s="10" t="str">
        <f aca="false">IFERROR(INDEX('Model Pricing'!$E$2:$E$52,MATCH(B82,'Model Pricing'!$A$2:$A$52,0)),"")</f>
        <v/>
      </c>
      <c r="F82" s="10" t="str">
        <f aca="false">IFERROR(INDEX('Model Pricing'!$O$2:$O$52,MATCH(B82,'Model Pricing'!$A$2:$A$52,0)),"")</f>
        <v/>
      </c>
      <c r="G82" s="10" t="n">
        <f aca="false">IFERROR(C82*D82,"")</f>
        <v>0</v>
      </c>
      <c r="H82" s="10" t="str">
        <f aca="false">IFERROR(C82*F82,"")</f>
        <v/>
      </c>
      <c r="I82" s="10" t="str">
        <f aca="false">IFERROR(G82-H82,"")</f>
        <v/>
      </c>
      <c r="J82" s="21"/>
    </row>
    <row r="83" customFormat="false" ht="15" hidden="false" customHeight="true" outlineLevel="0" collapsed="false">
      <c r="A83" s="20"/>
      <c r="B83" s="21"/>
      <c r="C83" s="21"/>
      <c r="D83" s="21"/>
      <c r="E83" s="10" t="str">
        <f aca="false">IFERROR(INDEX('Model Pricing'!$E$2:$E$52,MATCH(B83,'Model Pricing'!$A$2:$A$52,0)),"")</f>
        <v/>
      </c>
      <c r="F83" s="10" t="str">
        <f aca="false">IFERROR(INDEX('Model Pricing'!$O$2:$O$52,MATCH(B83,'Model Pricing'!$A$2:$A$52,0)),"")</f>
        <v/>
      </c>
      <c r="G83" s="10" t="n">
        <f aca="false">IFERROR(C83*D83,"")</f>
        <v>0</v>
      </c>
      <c r="H83" s="10" t="str">
        <f aca="false">IFERROR(C83*F83,"")</f>
        <v/>
      </c>
      <c r="I83" s="10" t="str">
        <f aca="false">IFERROR(G83-H83,"")</f>
        <v/>
      </c>
      <c r="J83" s="21"/>
    </row>
    <row r="84" customFormat="false" ht="15" hidden="false" customHeight="true" outlineLevel="0" collapsed="false">
      <c r="A84" s="20"/>
      <c r="B84" s="21"/>
      <c r="C84" s="21"/>
      <c r="D84" s="21"/>
      <c r="E84" s="10" t="str">
        <f aca="false">IFERROR(INDEX('Model Pricing'!$E$2:$E$52,MATCH(B84,'Model Pricing'!$A$2:$A$52,0)),"")</f>
        <v/>
      </c>
      <c r="F84" s="10" t="str">
        <f aca="false">IFERROR(INDEX('Model Pricing'!$O$2:$O$52,MATCH(B84,'Model Pricing'!$A$2:$A$52,0)),"")</f>
        <v/>
      </c>
      <c r="G84" s="10" t="n">
        <f aca="false">IFERROR(C84*D84,"")</f>
        <v>0</v>
      </c>
      <c r="H84" s="10" t="str">
        <f aca="false">IFERROR(C84*F84,"")</f>
        <v/>
      </c>
      <c r="I84" s="10" t="str">
        <f aca="false">IFERROR(G84-H84,"")</f>
        <v/>
      </c>
      <c r="J84" s="21"/>
    </row>
    <row r="85" customFormat="false" ht="15" hidden="false" customHeight="true" outlineLevel="0" collapsed="false">
      <c r="A85" s="20"/>
      <c r="B85" s="21"/>
      <c r="C85" s="21"/>
      <c r="D85" s="21"/>
      <c r="E85" s="10" t="str">
        <f aca="false">IFERROR(INDEX('Model Pricing'!$E$2:$E$52,MATCH(B85,'Model Pricing'!$A$2:$A$52,0)),"")</f>
        <v/>
      </c>
      <c r="F85" s="10" t="str">
        <f aca="false">IFERROR(INDEX('Model Pricing'!$O$2:$O$52,MATCH(B85,'Model Pricing'!$A$2:$A$52,0)),"")</f>
        <v/>
      </c>
      <c r="G85" s="10" t="n">
        <f aca="false">IFERROR(C85*D85,"")</f>
        <v>0</v>
      </c>
      <c r="H85" s="10" t="str">
        <f aca="false">IFERROR(C85*F85,"")</f>
        <v/>
      </c>
      <c r="I85" s="10" t="str">
        <f aca="false">IFERROR(G85-H85,"")</f>
        <v/>
      </c>
      <c r="J85" s="21"/>
    </row>
    <row r="86" customFormat="false" ht="15" hidden="false" customHeight="true" outlineLevel="0" collapsed="false">
      <c r="A86" s="20"/>
      <c r="B86" s="21"/>
      <c r="C86" s="21"/>
      <c r="D86" s="21"/>
      <c r="E86" s="10" t="str">
        <f aca="false">IFERROR(INDEX('Model Pricing'!$E$2:$E$52,MATCH(B86,'Model Pricing'!$A$2:$A$52,0)),"")</f>
        <v/>
      </c>
      <c r="F86" s="10" t="str">
        <f aca="false">IFERROR(INDEX('Model Pricing'!$O$2:$O$52,MATCH(B86,'Model Pricing'!$A$2:$A$52,0)),"")</f>
        <v/>
      </c>
      <c r="G86" s="10" t="n">
        <f aca="false">IFERROR(C86*D86,"")</f>
        <v>0</v>
      </c>
      <c r="H86" s="10" t="str">
        <f aca="false">IFERROR(C86*F86,"")</f>
        <v/>
      </c>
      <c r="I86" s="10" t="str">
        <f aca="false">IFERROR(G86-H86,"")</f>
        <v/>
      </c>
      <c r="J86" s="21"/>
    </row>
    <row r="87" customFormat="false" ht="15" hidden="false" customHeight="true" outlineLevel="0" collapsed="false">
      <c r="A87" s="20"/>
      <c r="B87" s="21"/>
      <c r="C87" s="21"/>
      <c r="D87" s="21"/>
      <c r="E87" s="10" t="str">
        <f aca="false">IFERROR(INDEX('Model Pricing'!$E$2:$E$52,MATCH(B87,'Model Pricing'!$A$2:$A$52,0)),"")</f>
        <v/>
      </c>
      <c r="F87" s="10" t="str">
        <f aca="false">IFERROR(INDEX('Model Pricing'!$O$2:$O$52,MATCH(B87,'Model Pricing'!$A$2:$A$52,0)),"")</f>
        <v/>
      </c>
      <c r="G87" s="10" t="n">
        <f aca="false">IFERROR(C87*D87,"")</f>
        <v>0</v>
      </c>
      <c r="H87" s="10" t="str">
        <f aca="false">IFERROR(C87*F87,"")</f>
        <v/>
      </c>
      <c r="I87" s="10" t="str">
        <f aca="false">IFERROR(G87-H87,"")</f>
        <v/>
      </c>
      <c r="J87" s="21"/>
    </row>
    <row r="88" customFormat="false" ht="15" hidden="false" customHeight="true" outlineLevel="0" collapsed="false">
      <c r="A88" s="20"/>
      <c r="B88" s="21"/>
      <c r="C88" s="21"/>
      <c r="D88" s="21"/>
      <c r="E88" s="10" t="str">
        <f aca="false">IFERROR(INDEX('Model Pricing'!$E$2:$E$52,MATCH(B88,'Model Pricing'!$A$2:$A$52,0)),"")</f>
        <v/>
      </c>
      <c r="F88" s="10" t="str">
        <f aca="false">IFERROR(INDEX('Model Pricing'!$O$2:$O$52,MATCH(B88,'Model Pricing'!$A$2:$A$52,0)),"")</f>
        <v/>
      </c>
      <c r="G88" s="10" t="n">
        <f aca="false">IFERROR(C88*D88,"")</f>
        <v>0</v>
      </c>
      <c r="H88" s="10" t="str">
        <f aca="false">IFERROR(C88*F88,"")</f>
        <v/>
      </c>
      <c r="I88" s="10" t="str">
        <f aca="false">IFERROR(G88-H88,"")</f>
        <v/>
      </c>
      <c r="J88" s="21"/>
    </row>
    <row r="89" customFormat="false" ht="15" hidden="false" customHeight="true" outlineLevel="0" collapsed="false">
      <c r="A89" s="20"/>
      <c r="B89" s="21"/>
      <c r="C89" s="21"/>
      <c r="D89" s="21"/>
      <c r="E89" s="10" t="str">
        <f aca="false">IFERROR(INDEX('Model Pricing'!$E$2:$E$52,MATCH(B89,'Model Pricing'!$A$2:$A$52,0)),"")</f>
        <v/>
      </c>
      <c r="F89" s="10" t="str">
        <f aca="false">IFERROR(INDEX('Model Pricing'!$O$2:$O$52,MATCH(B89,'Model Pricing'!$A$2:$A$52,0)),"")</f>
        <v/>
      </c>
      <c r="G89" s="10" t="n">
        <f aca="false">IFERROR(C89*D89,"")</f>
        <v>0</v>
      </c>
      <c r="H89" s="10" t="str">
        <f aca="false">IFERROR(C89*F89,"")</f>
        <v/>
      </c>
      <c r="I89" s="10" t="str">
        <f aca="false">IFERROR(G89-H89,"")</f>
        <v/>
      </c>
      <c r="J89" s="21"/>
    </row>
    <row r="90" customFormat="false" ht="15" hidden="false" customHeight="true" outlineLevel="0" collapsed="false">
      <c r="A90" s="20"/>
      <c r="B90" s="21"/>
      <c r="C90" s="21"/>
      <c r="D90" s="21"/>
      <c r="E90" s="10" t="str">
        <f aca="false">IFERROR(INDEX('Model Pricing'!$E$2:$E$52,MATCH(B90,'Model Pricing'!$A$2:$A$52,0)),"")</f>
        <v/>
      </c>
      <c r="F90" s="10" t="str">
        <f aca="false">IFERROR(INDEX('Model Pricing'!$O$2:$O$52,MATCH(B90,'Model Pricing'!$A$2:$A$52,0)),"")</f>
        <v/>
      </c>
      <c r="G90" s="10" t="n">
        <f aca="false">IFERROR(C90*D90,"")</f>
        <v>0</v>
      </c>
      <c r="H90" s="10" t="str">
        <f aca="false">IFERROR(C90*F90,"")</f>
        <v/>
      </c>
      <c r="I90" s="10" t="str">
        <f aca="false">IFERROR(G90-H90,"")</f>
        <v/>
      </c>
      <c r="J90" s="21"/>
    </row>
    <row r="91" customFormat="false" ht="15" hidden="false" customHeight="true" outlineLevel="0" collapsed="false">
      <c r="A91" s="20"/>
      <c r="B91" s="21"/>
      <c r="C91" s="21"/>
      <c r="D91" s="21"/>
      <c r="E91" s="10" t="str">
        <f aca="false">IFERROR(INDEX('Model Pricing'!$E$2:$E$52,MATCH(B91,'Model Pricing'!$A$2:$A$52,0)),"")</f>
        <v/>
      </c>
      <c r="F91" s="10" t="str">
        <f aca="false">IFERROR(INDEX('Model Pricing'!$O$2:$O$52,MATCH(B91,'Model Pricing'!$A$2:$A$52,0)),"")</f>
        <v/>
      </c>
      <c r="G91" s="10" t="n">
        <f aca="false">IFERROR(C91*D91,"")</f>
        <v>0</v>
      </c>
      <c r="H91" s="10" t="str">
        <f aca="false">IFERROR(C91*F91,"")</f>
        <v/>
      </c>
      <c r="I91" s="10" t="str">
        <f aca="false">IFERROR(G91-H91,"")</f>
        <v/>
      </c>
      <c r="J91" s="21"/>
    </row>
    <row r="92" customFormat="false" ht="15" hidden="false" customHeight="true" outlineLevel="0" collapsed="false">
      <c r="A92" s="20"/>
      <c r="B92" s="21"/>
      <c r="C92" s="21"/>
      <c r="D92" s="21"/>
      <c r="E92" s="10" t="str">
        <f aca="false">IFERROR(INDEX('Model Pricing'!$E$2:$E$52,MATCH(B92,'Model Pricing'!$A$2:$A$52,0)),"")</f>
        <v/>
      </c>
      <c r="F92" s="10" t="str">
        <f aca="false">IFERROR(INDEX('Model Pricing'!$O$2:$O$52,MATCH(B92,'Model Pricing'!$A$2:$A$52,0)),"")</f>
        <v/>
      </c>
      <c r="G92" s="10" t="n">
        <f aca="false">IFERROR(C92*D92,"")</f>
        <v>0</v>
      </c>
      <c r="H92" s="10" t="str">
        <f aca="false">IFERROR(C92*F92,"")</f>
        <v/>
      </c>
      <c r="I92" s="10" t="str">
        <f aca="false">IFERROR(G92-H92,"")</f>
        <v/>
      </c>
      <c r="J92" s="21"/>
    </row>
    <row r="93" customFormat="false" ht="15" hidden="false" customHeight="true" outlineLevel="0" collapsed="false">
      <c r="A93" s="20"/>
      <c r="B93" s="21"/>
      <c r="C93" s="21"/>
      <c r="D93" s="21"/>
      <c r="E93" s="10" t="str">
        <f aca="false">IFERROR(INDEX('Model Pricing'!$E$2:$E$52,MATCH(B93,'Model Pricing'!$A$2:$A$52,0)),"")</f>
        <v/>
      </c>
      <c r="F93" s="10" t="str">
        <f aca="false">IFERROR(INDEX('Model Pricing'!$O$2:$O$52,MATCH(B93,'Model Pricing'!$A$2:$A$52,0)),"")</f>
        <v/>
      </c>
      <c r="G93" s="10" t="n">
        <f aca="false">IFERROR(C93*D93,"")</f>
        <v>0</v>
      </c>
      <c r="H93" s="10" t="str">
        <f aca="false">IFERROR(C93*F93,"")</f>
        <v/>
      </c>
      <c r="I93" s="10" t="str">
        <f aca="false">IFERROR(G93-H93,"")</f>
        <v/>
      </c>
      <c r="J93" s="21"/>
    </row>
    <row r="94" customFormat="false" ht="15" hidden="false" customHeight="true" outlineLevel="0" collapsed="false">
      <c r="A94" s="20"/>
      <c r="B94" s="21"/>
      <c r="C94" s="21"/>
      <c r="D94" s="21"/>
      <c r="E94" s="10" t="str">
        <f aca="false">IFERROR(INDEX('Model Pricing'!$E$2:$E$52,MATCH(B94,'Model Pricing'!$A$2:$A$52,0)),"")</f>
        <v/>
      </c>
      <c r="F94" s="10" t="str">
        <f aca="false">IFERROR(INDEX('Model Pricing'!$O$2:$O$52,MATCH(B94,'Model Pricing'!$A$2:$A$52,0)),"")</f>
        <v/>
      </c>
      <c r="G94" s="10" t="n">
        <f aca="false">IFERROR(C94*D94,"")</f>
        <v>0</v>
      </c>
      <c r="H94" s="10" t="str">
        <f aca="false">IFERROR(C94*F94,"")</f>
        <v/>
      </c>
      <c r="I94" s="10" t="str">
        <f aca="false">IFERROR(G94-H94,"")</f>
        <v/>
      </c>
      <c r="J94" s="21"/>
    </row>
    <row r="95" customFormat="false" ht="15" hidden="false" customHeight="true" outlineLevel="0" collapsed="false">
      <c r="A95" s="20"/>
      <c r="B95" s="21"/>
      <c r="C95" s="21"/>
      <c r="D95" s="21"/>
      <c r="E95" s="10" t="str">
        <f aca="false">IFERROR(INDEX('Model Pricing'!$E$2:$E$52,MATCH(B95,'Model Pricing'!$A$2:$A$52,0)),"")</f>
        <v/>
      </c>
      <c r="F95" s="10" t="str">
        <f aca="false">IFERROR(INDEX('Model Pricing'!$O$2:$O$52,MATCH(B95,'Model Pricing'!$A$2:$A$52,0)),"")</f>
        <v/>
      </c>
      <c r="G95" s="10" t="n">
        <f aca="false">IFERROR(C95*D95,"")</f>
        <v>0</v>
      </c>
      <c r="H95" s="10" t="str">
        <f aca="false">IFERROR(C95*F95,"")</f>
        <v/>
      </c>
      <c r="I95" s="10" t="str">
        <f aca="false">IFERROR(G95-H95,"")</f>
        <v/>
      </c>
      <c r="J95" s="21"/>
    </row>
    <row r="96" customFormat="false" ht="15" hidden="false" customHeight="true" outlineLevel="0" collapsed="false">
      <c r="A96" s="20"/>
      <c r="B96" s="21"/>
      <c r="C96" s="21"/>
      <c r="D96" s="21"/>
      <c r="E96" s="10" t="str">
        <f aca="false">IFERROR(INDEX('Model Pricing'!$E$2:$E$52,MATCH(B96,'Model Pricing'!$A$2:$A$52,0)),"")</f>
        <v/>
      </c>
      <c r="F96" s="10" t="str">
        <f aca="false">IFERROR(INDEX('Model Pricing'!$O$2:$O$52,MATCH(B96,'Model Pricing'!$A$2:$A$52,0)),"")</f>
        <v/>
      </c>
      <c r="G96" s="10" t="n">
        <f aca="false">IFERROR(C96*D96,"")</f>
        <v>0</v>
      </c>
      <c r="H96" s="10" t="str">
        <f aca="false">IFERROR(C96*F96,"")</f>
        <v/>
      </c>
      <c r="I96" s="10" t="str">
        <f aca="false">IFERROR(G96-H96,"")</f>
        <v/>
      </c>
      <c r="J96" s="21"/>
    </row>
    <row r="97" customFormat="false" ht="15" hidden="false" customHeight="true" outlineLevel="0" collapsed="false">
      <c r="A97" s="20"/>
      <c r="B97" s="21"/>
      <c r="C97" s="21"/>
      <c r="D97" s="21"/>
      <c r="E97" s="10" t="str">
        <f aca="false">IFERROR(INDEX('Model Pricing'!$E$2:$E$52,MATCH(B97,'Model Pricing'!$A$2:$A$52,0)),"")</f>
        <v/>
      </c>
      <c r="F97" s="10" t="str">
        <f aca="false">IFERROR(INDEX('Model Pricing'!$O$2:$O$52,MATCH(B97,'Model Pricing'!$A$2:$A$52,0)),"")</f>
        <v/>
      </c>
      <c r="G97" s="10" t="n">
        <f aca="false">IFERROR(C97*D97,"")</f>
        <v>0</v>
      </c>
      <c r="H97" s="10" t="str">
        <f aca="false">IFERROR(C97*F97,"")</f>
        <v/>
      </c>
      <c r="I97" s="10" t="str">
        <f aca="false">IFERROR(G97-H97,"")</f>
        <v/>
      </c>
      <c r="J97" s="21"/>
    </row>
    <row r="98" customFormat="false" ht="15" hidden="false" customHeight="true" outlineLevel="0" collapsed="false">
      <c r="A98" s="20"/>
      <c r="B98" s="21"/>
      <c r="C98" s="21"/>
      <c r="D98" s="21"/>
      <c r="E98" s="10" t="str">
        <f aca="false">IFERROR(INDEX('Model Pricing'!$E$2:$E$52,MATCH(B98,'Model Pricing'!$A$2:$A$52,0)),"")</f>
        <v/>
      </c>
      <c r="F98" s="10" t="str">
        <f aca="false">IFERROR(INDEX('Model Pricing'!$O$2:$O$52,MATCH(B98,'Model Pricing'!$A$2:$A$52,0)),"")</f>
        <v/>
      </c>
      <c r="G98" s="10" t="n">
        <f aca="false">IFERROR(C98*D98,"")</f>
        <v>0</v>
      </c>
      <c r="H98" s="10" t="str">
        <f aca="false">IFERROR(C98*F98,"")</f>
        <v/>
      </c>
      <c r="I98" s="10" t="str">
        <f aca="false">IFERROR(G98-H98,"")</f>
        <v/>
      </c>
      <c r="J98" s="21"/>
    </row>
    <row r="99" customFormat="false" ht="15" hidden="false" customHeight="true" outlineLevel="0" collapsed="false">
      <c r="A99" s="20"/>
      <c r="B99" s="21"/>
      <c r="C99" s="21"/>
      <c r="D99" s="21"/>
      <c r="E99" s="10" t="str">
        <f aca="false">IFERROR(INDEX('Model Pricing'!$E$2:$E$52,MATCH(B99,'Model Pricing'!$A$2:$A$52,0)),"")</f>
        <v/>
      </c>
      <c r="F99" s="10" t="str">
        <f aca="false">IFERROR(INDEX('Model Pricing'!$O$2:$O$52,MATCH(B99,'Model Pricing'!$A$2:$A$52,0)),"")</f>
        <v/>
      </c>
      <c r="G99" s="10" t="n">
        <f aca="false">IFERROR(C99*D99,"")</f>
        <v>0</v>
      </c>
      <c r="H99" s="10" t="str">
        <f aca="false">IFERROR(C99*F99,"")</f>
        <v/>
      </c>
      <c r="I99" s="10" t="str">
        <f aca="false">IFERROR(G99-H99,"")</f>
        <v/>
      </c>
      <c r="J99" s="21"/>
    </row>
    <row r="100" customFormat="false" ht="15" hidden="false" customHeight="true" outlineLevel="0" collapsed="false">
      <c r="A100" s="20"/>
      <c r="B100" s="21"/>
      <c r="C100" s="21"/>
      <c r="D100" s="21"/>
      <c r="E100" s="10" t="str">
        <f aca="false">IFERROR(INDEX('Model Pricing'!$E$2:$E$52,MATCH(B100,'Model Pricing'!$A$2:$A$52,0)),"")</f>
        <v/>
      </c>
      <c r="F100" s="10" t="str">
        <f aca="false">IFERROR(INDEX('Model Pricing'!$O$2:$O$52,MATCH(B100,'Model Pricing'!$A$2:$A$52,0)),"")</f>
        <v/>
      </c>
      <c r="G100" s="10" t="n">
        <f aca="false">IFERROR(C100*D100,"")</f>
        <v>0</v>
      </c>
      <c r="H100" s="10" t="str">
        <f aca="false">IFERROR(C100*F100,"")</f>
        <v/>
      </c>
      <c r="I100" s="10" t="str">
        <f aca="false">IFERROR(G100-H100,"")</f>
        <v/>
      </c>
      <c r="J100" s="21"/>
    </row>
    <row r="101" customFormat="false" ht="15" hidden="false" customHeight="true" outlineLevel="0" collapsed="false">
      <c r="A101" s="20"/>
      <c r="B101" s="21"/>
      <c r="C101" s="21"/>
      <c r="D101" s="21"/>
      <c r="E101" s="10" t="str">
        <f aca="false">IFERROR(INDEX('Model Pricing'!$E$2:$E$52,MATCH(B101,'Model Pricing'!$A$2:$A$52,0)),"")</f>
        <v/>
      </c>
      <c r="F101" s="10" t="str">
        <f aca="false">IFERROR(INDEX('Model Pricing'!$O$2:$O$52,MATCH(B101,'Model Pricing'!$A$2:$A$52,0)),"")</f>
        <v/>
      </c>
      <c r="G101" s="10" t="n">
        <f aca="false">IFERROR(C101*D101,"")</f>
        <v>0</v>
      </c>
      <c r="H101" s="10" t="str">
        <f aca="false">IFERROR(C101*F101,"")</f>
        <v/>
      </c>
      <c r="I101" s="10" t="str">
        <f aca="false">IFERROR(G101-H101,"")</f>
        <v/>
      </c>
      <c r="J101" s="21"/>
    </row>
    <row r="102" customFormat="false" ht="15" hidden="false" customHeight="true" outlineLevel="0" collapsed="false">
      <c r="A102" s="20"/>
      <c r="B102" s="21"/>
      <c r="C102" s="21"/>
      <c r="D102" s="21"/>
      <c r="E102" s="10" t="str">
        <f aca="false">IFERROR(INDEX('Model Pricing'!$E$2:$E$52,MATCH(B102,'Model Pricing'!$A$2:$A$52,0)),"")</f>
        <v/>
      </c>
      <c r="F102" s="10" t="str">
        <f aca="false">IFERROR(INDEX('Model Pricing'!$O$2:$O$52,MATCH(B102,'Model Pricing'!$A$2:$A$52,0)),"")</f>
        <v/>
      </c>
      <c r="G102" s="10" t="n">
        <f aca="false">IFERROR(C102*D102,"")</f>
        <v>0</v>
      </c>
      <c r="H102" s="10" t="str">
        <f aca="false">IFERROR(C102*F102,"")</f>
        <v/>
      </c>
      <c r="I102" s="10" t="str">
        <f aca="false">IFERROR(G102-H102,"")</f>
        <v/>
      </c>
      <c r="J102" s="21"/>
    </row>
    <row r="103" customFormat="false" ht="15" hidden="false" customHeight="true" outlineLevel="0" collapsed="false">
      <c r="A103" s="20"/>
      <c r="B103" s="21"/>
      <c r="C103" s="21"/>
      <c r="D103" s="21"/>
      <c r="E103" s="10" t="str">
        <f aca="false">IFERROR(INDEX('Model Pricing'!$E$2:$E$52,MATCH(B103,'Model Pricing'!$A$2:$A$52,0)),"")</f>
        <v/>
      </c>
      <c r="F103" s="10" t="str">
        <f aca="false">IFERROR(INDEX('Model Pricing'!$O$2:$O$52,MATCH(B103,'Model Pricing'!$A$2:$A$52,0)),"")</f>
        <v/>
      </c>
      <c r="G103" s="10" t="n">
        <f aca="false">IFERROR(C103*D103,"")</f>
        <v>0</v>
      </c>
      <c r="H103" s="10" t="str">
        <f aca="false">IFERROR(C103*F103,"")</f>
        <v/>
      </c>
      <c r="I103" s="10" t="str">
        <f aca="false">IFERROR(G103-H103,"")</f>
        <v/>
      </c>
      <c r="J103" s="21"/>
    </row>
    <row r="104" customFormat="false" ht="15" hidden="false" customHeight="true" outlineLevel="0" collapsed="false">
      <c r="A104" s="20"/>
      <c r="B104" s="21"/>
      <c r="C104" s="21"/>
      <c r="D104" s="21"/>
      <c r="E104" s="10" t="str">
        <f aca="false">IFERROR(INDEX('Model Pricing'!$E$2:$E$52,MATCH(B104,'Model Pricing'!$A$2:$A$52,0)),"")</f>
        <v/>
      </c>
      <c r="F104" s="10" t="str">
        <f aca="false">IFERROR(INDEX('Model Pricing'!$O$2:$O$52,MATCH(B104,'Model Pricing'!$A$2:$A$52,0)),"")</f>
        <v/>
      </c>
      <c r="G104" s="10" t="n">
        <f aca="false">IFERROR(C104*D104,"")</f>
        <v>0</v>
      </c>
      <c r="H104" s="10" t="str">
        <f aca="false">IFERROR(C104*F104,"")</f>
        <v/>
      </c>
      <c r="I104" s="10" t="str">
        <f aca="false">IFERROR(G104-H104,"")</f>
        <v/>
      </c>
      <c r="J104" s="21"/>
    </row>
    <row r="105" customFormat="false" ht="15" hidden="false" customHeight="true" outlineLevel="0" collapsed="false">
      <c r="A105" s="20"/>
      <c r="B105" s="21"/>
      <c r="C105" s="21"/>
      <c r="D105" s="21"/>
      <c r="E105" s="10" t="str">
        <f aca="false">IFERROR(INDEX('Model Pricing'!$E$2:$E$52,MATCH(B105,'Model Pricing'!$A$2:$A$52,0)),"")</f>
        <v/>
      </c>
      <c r="F105" s="10" t="str">
        <f aca="false">IFERROR(INDEX('Model Pricing'!$O$2:$O$52,MATCH(B105,'Model Pricing'!$A$2:$A$52,0)),"")</f>
        <v/>
      </c>
      <c r="G105" s="10" t="n">
        <f aca="false">IFERROR(C105*D105,"")</f>
        <v>0</v>
      </c>
      <c r="H105" s="10" t="str">
        <f aca="false">IFERROR(C105*F105,"")</f>
        <v/>
      </c>
      <c r="I105" s="10" t="str">
        <f aca="false">IFERROR(G105-H105,"")</f>
        <v/>
      </c>
      <c r="J105" s="21"/>
    </row>
    <row r="106" customFormat="false" ht="15" hidden="false" customHeight="true" outlineLevel="0" collapsed="false">
      <c r="A106" s="20"/>
      <c r="B106" s="21"/>
      <c r="C106" s="21"/>
      <c r="D106" s="21"/>
      <c r="E106" s="10" t="str">
        <f aca="false">IFERROR(INDEX('Model Pricing'!$E$2:$E$52,MATCH(B106,'Model Pricing'!$A$2:$A$52,0)),"")</f>
        <v/>
      </c>
      <c r="F106" s="10" t="str">
        <f aca="false">IFERROR(INDEX('Model Pricing'!$O$2:$O$52,MATCH(B106,'Model Pricing'!$A$2:$A$52,0)),"")</f>
        <v/>
      </c>
      <c r="G106" s="10" t="n">
        <f aca="false">IFERROR(C106*D106,"")</f>
        <v>0</v>
      </c>
      <c r="H106" s="10" t="str">
        <f aca="false">IFERROR(C106*F106,"")</f>
        <v/>
      </c>
      <c r="I106" s="10" t="str">
        <f aca="false">IFERROR(G106-H106,"")</f>
        <v/>
      </c>
      <c r="J106" s="21"/>
    </row>
    <row r="107" customFormat="false" ht="15" hidden="false" customHeight="true" outlineLevel="0" collapsed="false">
      <c r="A107" s="20"/>
      <c r="B107" s="21"/>
      <c r="C107" s="21"/>
      <c r="D107" s="21"/>
      <c r="E107" s="10" t="str">
        <f aca="false">IFERROR(INDEX('Model Pricing'!$E$2:$E$52,MATCH(B107,'Model Pricing'!$A$2:$A$52,0)),"")</f>
        <v/>
      </c>
      <c r="F107" s="10" t="str">
        <f aca="false">IFERROR(INDEX('Model Pricing'!$O$2:$O$52,MATCH(B107,'Model Pricing'!$A$2:$A$52,0)),"")</f>
        <v/>
      </c>
      <c r="G107" s="10" t="n">
        <f aca="false">IFERROR(C107*D107,"")</f>
        <v>0</v>
      </c>
      <c r="H107" s="10" t="str">
        <f aca="false">IFERROR(C107*F107,"")</f>
        <v/>
      </c>
      <c r="I107" s="10" t="str">
        <f aca="false">IFERROR(G107-H107,"")</f>
        <v/>
      </c>
      <c r="J107" s="21"/>
    </row>
    <row r="108" customFormat="false" ht="15" hidden="false" customHeight="true" outlineLevel="0" collapsed="false">
      <c r="A108" s="20"/>
      <c r="B108" s="21"/>
      <c r="C108" s="21"/>
      <c r="D108" s="21"/>
      <c r="E108" s="10" t="str">
        <f aca="false">IFERROR(INDEX('Model Pricing'!$E$2:$E$52,MATCH(B108,'Model Pricing'!$A$2:$A$52,0)),"")</f>
        <v/>
      </c>
      <c r="F108" s="10" t="str">
        <f aca="false">IFERROR(INDEX('Model Pricing'!$O$2:$O$52,MATCH(B108,'Model Pricing'!$A$2:$A$52,0)),"")</f>
        <v/>
      </c>
      <c r="G108" s="10" t="n">
        <f aca="false">IFERROR(C108*D108,"")</f>
        <v>0</v>
      </c>
      <c r="H108" s="10" t="str">
        <f aca="false">IFERROR(C108*F108,"")</f>
        <v/>
      </c>
      <c r="I108" s="10" t="str">
        <f aca="false">IFERROR(G108-H108,"")</f>
        <v/>
      </c>
      <c r="J108" s="21"/>
    </row>
    <row r="109" customFormat="false" ht="15" hidden="false" customHeight="true" outlineLevel="0" collapsed="false">
      <c r="A109" s="20"/>
      <c r="B109" s="21"/>
      <c r="C109" s="21"/>
      <c r="D109" s="21"/>
      <c r="E109" s="10" t="str">
        <f aca="false">IFERROR(INDEX('Model Pricing'!$E$2:$E$52,MATCH(B109,'Model Pricing'!$A$2:$A$52,0)),"")</f>
        <v/>
      </c>
      <c r="F109" s="10" t="str">
        <f aca="false">IFERROR(INDEX('Model Pricing'!$O$2:$O$52,MATCH(B109,'Model Pricing'!$A$2:$A$52,0)),"")</f>
        <v/>
      </c>
      <c r="G109" s="10" t="n">
        <f aca="false">IFERROR(C109*D109,"")</f>
        <v>0</v>
      </c>
      <c r="H109" s="10" t="str">
        <f aca="false">IFERROR(C109*F109,"")</f>
        <v/>
      </c>
      <c r="I109" s="10" t="str">
        <f aca="false">IFERROR(G109-H109,"")</f>
        <v/>
      </c>
      <c r="J109" s="21"/>
    </row>
    <row r="110" customFormat="false" ht="15" hidden="false" customHeight="true" outlineLevel="0" collapsed="false">
      <c r="A110" s="20"/>
      <c r="B110" s="21"/>
      <c r="C110" s="21"/>
      <c r="D110" s="21"/>
      <c r="E110" s="10" t="str">
        <f aca="false">IFERROR(INDEX('Model Pricing'!$E$2:$E$52,MATCH(B110,'Model Pricing'!$A$2:$A$52,0)),"")</f>
        <v/>
      </c>
      <c r="F110" s="10" t="str">
        <f aca="false">IFERROR(INDEX('Model Pricing'!$O$2:$O$52,MATCH(B110,'Model Pricing'!$A$2:$A$52,0)),"")</f>
        <v/>
      </c>
      <c r="G110" s="10" t="n">
        <f aca="false">IFERROR(C110*D110,"")</f>
        <v>0</v>
      </c>
      <c r="H110" s="10" t="str">
        <f aca="false">IFERROR(C110*F110,"")</f>
        <v/>
      </c>
      <c r="I110" s="10" t="str">
        <f aca="false">IFERROR(G110-H110,"")</f>
        <v/>
      </c>
      <c r="J110" s="21"/>
    </row>
    <row r="111" customFormat="false" ht="15" hidden="false" customHeight="true" outlineLevel="0" collapsed="false">
      <c r="A111" s="20"/>
      <c r="B111" s="21"/>
      <c r="C111" s="21"/>
      <c r="D111" s="21"/>
      <c r="E111" s="10" t="str">
        <f aca="false">IFERROR(INDEX('Model Pricing'!$E$2:$E$52,MATCH(B111,'Model Pricing'!$A$2:$A$52,0)),"")</f>
        <v/>
      </c>
      <c r="F111" s="10" t="str">
        <f aca="false">IFERROR(INDEX('Model Pricing'!$O$2:$O$52,MATCH(B111,'Model Pricing'!$A$2:$A$52,0)),"")</f>
        <v/>
      </c>
      <c r="G111" s="10" t="n">
        <f aca="false">IFERROR(C111*D111,"")</f>
        <v>0</v>
      </c>
      <c r="H111" s="10" t="str">
        <f aca="false">IFERROR(C111*F111,"")</f>
        <v/>
      </c>
      <c r="I111" s="10" t="str">
        <f aca="false">IFERROR(G111-H111,"")</f>
        <v/>
      </c>
      <c r="J111" s="21"/>
    </row>
    <row r="112" customFormat="false" ht="15" hidden="false" customHeight="true" outlineLevel="0" collapsed="false">
      <c r="A112" s="20"/>
      <c r="B112" s="21"/>
      <c r="C112" s="21"/>
      <c r="D112" s="21"/>
      <c r="E112" s="10" t="str">
        <f aca="false">IFERROR(INDEX('Model Pricing'!$E$2:$E$52,MATCH(B112,'Model Pricing'!$A$2:$A$52,0)),"")</f>
        <v/>
      </c>
      <c r="F112" s="10" t="str">
        <f aca="false">IFERROR(INDEX('Model Pricing'!$O$2:$O$52,MATCH(B112,'Model Pricing'!$A$2:$A$52,0)),"")</f>
        <v/>
      </c>
      <c r="G112" s="10" t="n">
        <f aca="false">IFERROR(C112*D112,"")</f>
        <v>0</v>
      </c>
      <c r="H112" s="10" t="str">
        <f aca="false">IFERROR(C112*F112,"")</f>
        <v/>
      </c>
      <c r="I112" s="10" t="str">
        <f aca="false">IFERROR(G112-H112,"")</f>
        <v/>
      </c>
      <c r="J112" s="21"/>
    </row>
    <row r="113" customFormat="false" ht="15" hidden="false" customHeight="true" outlineLevel="0" collapsed="false">
      <c r="A113" s="20"/>
      <c r="B113" s="21"/>
      <c r="C113" s="21"/>
      <c r="D113" s="21"/>
      <c r="E113" s="10" t="str">
        <f aca="false">IFERROR(INDEX('Model Pricing'!$E$2:$E$52,MATCH(B113,'Model Pricing'!$A$2:$A$52,0)),"")</f>
        <v/>
      </c>
      <c r="F113" s="10" t="str">
        <f aca="false">IFERROR(INDEX('Model Pricing'!$O$2:$O$52,MATCH(B113,'Model Pricing'!$A$2:$A$52,0)),"")</f>
        <v/>
      </c>
      <c r="G113" s="10" t="n">
        <f aca="false">IFERROR(C113*D113,"")</f>
        <v>0</v>
      </c>
      <c r="H113" s="10" t="str">
        <f aca="false">IFERROR(C113*F113,"")</f>
        <v/>
      </c>
      <c r="I113" s="10" t="str">
        <f aca="false">IFERROR(G113-H113,"")</f>
        <v/>
      </c>
      <c r="J113" s="21"/>
    </row>
    <row r="114" customFormat="false" ht="15" hidden="false" customHeight="true" outlineLevel="0" collapsed="false">
      <c r="A114" s="20"/>
      <c r="B114" s="21"/>
      <c r="C114" s="21"/>
      <c r="D114" s="21"/>
      <c r="E114" s="10" t="str">
        <f aca="false">IFERROR(INDEX('Model Pricing'!$E$2:$E$52,MATCH(B114,'Model Pricing'!$A$2:$A$52,0)),"")</f>
        <v/>
      </c>
      <c r="F114" s="10" t="str">
        <f aca="false">IFERROR(INDEX('Model Pricing'!$O$2:$O$52,MATCH(B114,'Model Pricing'!$A$2:$A$52,0)),"")</f>
        <v/>
      </c>
      <c r="G114" s="10" t="n">
        <f aca="false">IFERROR(C114*D114,"")</f>
        <v>0</v>
      </c>
      <c r="H114" s="10" t="str">
        <f aca="false">IFERROR(C114*F114,"")</f>
        <v/>
      </c>
      <c r="I114" s="10" t="str">
        <f aca="false">IFERROR(G114-H114,"")</f>
        <v/>
      </c>
      <c r="J114" s="21"/>
    </row>
    <row r="115" customFormat="false" ht="15" hidden="false" customHeight="true" outlineLevel="0" collapsed="false">
      <c r="A115" s="20"/>
      <c r="B115" s="21"/>
      <c r="C115" s="21"/>
      <c r="D115" s="21"/>
      <c r="E115" s="10" t="str">
        <f aca="false">IFERROR(INDEX('Model Pricing'!$E$2:$E$52,MATCH(B115,'Model Pricing'!$A$2:$A$52,0)),"")</f>
        <v/>
      </c>
      <c r="F115" s="10" t="str">
        <f aca="false">IFERROR(INDEX('Model Pricing'!$O$2:$O$52,MATCH(B115,'Model Pricing'!$A$2:$A$52,0)),"")</f>
        <v/>
      </c>
      <c r="G115" s="10" t="n">
        <f aca="false">IFERROR(C115*D115,"")</f>
        <v>0</v>
      </c>
      <c r="H115" s="10" t="str">
        <f aca="false">IFERROR(C115*F115,"")</f>
        <v/>
      </c>
      <c r="I115" s="10" t="str">
        <f aca="false">IFERROR(G115-H115,"")</f>
        <v/>
      </c>
      <c r="J115" s="21"/>
    </row>
    <row r="116" customFormat="false" ht="15" hidden="false" customHeight="true" outlineLevel="0" collapsed="false">
      <c r="A116" s="20"/>
      <c r="B116" s="21"/>
      <c r="C116" s="21"/>
      <c r="D116" s="21"/>
      <c r="E116" s="10" t="str">
        <f aca="false">IFERROR(INDEX('Model Pricing'!$E$2:$E$52,MATCH(B116,'Model Pricing'!$A$2:$A$52,0)),"")</f>
        <v/>
      </c>
      <c r="F116" s="10" t="str">
        <f aca="false">IFERROR(INDEX('Model Pricing'!$O$2:$O$52,MATCH(B116,'Model Pricing'!$A$2:$A$52,0)),"")</f>
        <v/>
      </c>
      <c r="G116" s="10" t="n">
        <f aca="false">IFERROR(C116*D116,"")</f>
        <v>0</v>
      </c>
      <c r="H116" s="10" t="str">
        <f aca="false">IFERROR(C116*F116,"")</f>
        <v/>
      </c>
      <c r="I116" s="10" t="str">
        <f aca="false">IFERROR(G116-H116,"")</f>
        <v/>
      </c>
      <c r="J116" s="21"/>
    </row>
    <row r="117" customFormat="false" ht="15" hidden="false" customHeight="true" outlineLevel="0" collapsed="false">
      <c r="A117" s="20"/>
      <c r="B117" s="21"/>
      <c r="C117" s="21"/>
      <c r="D117" s="21"/>
      <c r="E117" s="10" t="str">
        <f aca="false">IFERROR(INDEX('Model Pricing'!$E$2:$E$52,MATCH(B117,'Model Pricing'!$A$2:$A$52,0)),"")</f>
        <v/>
      </c>
      <c r="F117" s="10" t="str">
        <f aca="false">IFERROR(INDEX('Model Pricing'!$O$2:$O$52,MATCH(B117,'Model Pricing'!$A$2:$A$52,0)),"")</f>
        <v/>
      </c>
      <c r="G117" s="10" t="n">
        <f aca="false">IFERROR(C117*D117,"")</f>
        <v>0</v>
      </c>
      <c r="H117" s="10" t="str">
        <f aca="false">IFERROR(C117*F117,"")</f>
        <v/>
      </c>
      <c r="I117" s="10" t="str">
        <f aca="false">IFERROR(G117-H117,"")</f>
        <v/>
      </c>
      <c r="J117" s="21"/>
    </row>
    <row r="118" customFormat="false" ht="15" hidden="false" customHeight="true" outlineLevel="0" collapsed="false">
      <c r="A118" s="20"/>
      <c r="B118" s="21"/>
      <c r="C118" s="21"/>
      <c r="D118" s="21"/>
      <c r="E118" s="10" t="str">
        <f aca="false">IFERROR(INDEX('Model Pricing'!$E$2:$E$52,MATCH(B118,'Model Pricing'!$A$2:$A$52,0)),"")</f>
        <v/>
      </c>
      <c r="F118" s="10" t="str">
        <f aca="false">IFERROR(INDEX('Model Pricing'!$O$2:$O$52,MATCH(B118,'Model Pricing'!$A$2:$A$52,0)),"")</f>
        <v/>
      </c>
      <c r="G118" s="10" t="n">
        <f aca="false">IFERROR(C118*D118,"")</f>
        <v>0</v>
      </c>
      <c r="H118" s="10" t="str">
        <f aca="false">IFERROR(C118*F118,"")</f>
        <v/>
      </c>
      <c r="I118" s="10" t="str">
        <f aca="false">IFERROR(G118-H118,"")</f>
        <v/>
      </c>
      <c r="J118" s="21"/>
    </row>
    <row r="119" customFormat="false" ht="15" hidden="false" customHeight="true" outlineLevel="0" collapsed="false">
      <c r="A119" s="20"/>
      <c r="B119" s="21"/>
      <c r="C119" s="21"/>
      <c r="D119" s="21"/>
      <c r="E119" s="10" t="str">
        <f aca="false">IFERROR(INDEX('Model Pricing'!$E$2:$E$52,MATCH(B119,'Model Pricing'!$A$2:$A$52,0)),"")</f>
        <v/>
      </c>
      <c r="F119" s="10" t="str">
        <f aca="false">IFERROR(INDEX('Model Pricing'!$O$2:$O$52,MATCH(B119,'Model Pricing'!$A$2:$A$52,0)),"")</f>
        <v/>
      </c>
      <c r="G119" s="10" t="n">
        <f aca="false">IFERROR(C119*D119,"")</f>
        <v>0</v>
      </c>
      <c r="H119" s="10" t="str">
        <f aca="false">IFERROR(C119*F119,"")</f>
        <v/>
      </c>
      <c r="I119" s="10" t="str">
        <f aca="false">IFERROR(G119-H119,"")</f>
        <v/>
      </c>
      <c r="J119" s="21"/>
    </row>
    <row r="120" customFormat="false" ht="15" hidden="false" customHeight="true" outlineLevel="0" collapsed="false">
      <c r="A120" s="20"/>
      <c r="B120" s="21"/>
      <c r="C120" s="21"/>
      <c r="D120" s="21"/>
      <c r="E120" s="10" t="str">
        <f aca="false">IFERROR(INDEX('Model Pricing'!$E$2:$E$52,MATCH(B120,'Model Pricing'!$A$2:$A$52,0)),"")</f>
        <v/>
      </c>
      <c r="F120" s="10" t="str">
        <f aca="false">IFERROR(INDEX('Model Pricing'!$O$2:$O$52,MATCH(B120,'Model Pricing'!$A$2:$A$52,0)),"")</f>
        <v/>
      </c>
      <c r="G120" s="10" t="n">
        <f aca="false">IFERROR(C120*D120,"")</f>
        <v>0</v>
      </c>
      <c r="H120" s="10" t="str">
        <f aca="false">IFERROR(C120*F120,"")</f>
        <v/>
      </c>
      <c r="I120" s="10" t="str">
        <f aca="false">IFERROR(G120-H120,"")</f>
        <v/>
      </c>
      <c r="J120" s="21"/>
    </row>
    <row r="121" customFormat="false" ht="15" hidden="false" customHeight="true" outlineLevel="0" collapsed="false">
      <c r="A121" s="20"/>
      <c r="B121" s="21"/>
      <c r="C121" s="21"/>
      <c r="D121" s="21"/>
      <c r="E121" s="10" t="str">
        <f aca="false">IFERROR(INDEX('Model Pricing'!$E$2:$E$52,MATCH(B121,'Model Pricing'!$A$2:$A$52,0)),"")</f>
        <v/>
      </c>
      <c r="F121" s="10" t="str">
        <f aca="false">IFERROR(INDEX('Model Pricing'!$O$2:$O$52,MATCH(B121,'Model Pricing'!$A$2:$A$52,0)),"")</f>
        <v/>
      </c>
      <c r="G121" s="10" t="n">
        <f aca="false">IFERROR(C121*D121,"")</f>
        <v>0</v>
      </c>
      <c r="H121" s="10" t="str">
        <f aca="false">IFERROR(C121*F121,"")</f>
        <v/>
      </c>
      <c r="I121" s="10" t="str">
        <f aca="false">IFERROR(G121-H121,"")</f>
        <v/>
      </c>
      <c r="J121" s="21"/>
    </row>
    <row r="122" customFormat="false" ht="15" hidden="false" customHeight="true" outlineLevel="0" collapsed="false">
      <c r="A122" s="20"/>
      <c r="B122" s="21"/>
      <c r="C122" s="21"/>
      <c r="D122" s="21"/>
      <c r="E122" s="10" t="str">
        <f aca="false">IFERROR(INDEX('Model Pricing'!$E$2:$E$52,MATCH(B122,'Model Pricing'!$A$2:$A$52,0)),"")</f>
        <v/>
      </c>
      <c r="F122" s="10" t="str">
        <f aca="false">IFERROR(INDEX('Model Pricing'!$O$2:$O$52,MATCH(B122,'Model Pricing'!$A$2:$A$52,0)),"")</f>
        <v/>
      </c>
      <c r="G122" s="10" t="n">
        <f aca="false">IFERROR(C122*D122,"")</f>
        <v>0</v>
      </c>
      <c r="H122" s="10" t="str">
        <f aca="false">IFERROR(C122*F122,"")</f>
        <v/>
      </c>
      <c r="I122" s="10" t="str">
        <f aca="false">IFERROR(G122-H122,"")</f>
        <v/>
      </c>
      <c r="J122" s="21"/>
    </row>
    <row r="123" customFormat="false" ht="15" hidden="false" customHeight="true" outlineLevel="0" collapsed="false">
      <c r="A123" s="20"/>
      <c r="B123" s="21"/>
      <c r="C123" s="21"/>
      <c r="D123" s="21"/>
      <c r="E123" s="10" t="str">
        <f aca="false">IFERROR(INDEX('Model Pricing'!$E$2:$E$52,MATCH(B123,'Model Pricing'!$A$2:$A$52,0)),"")</f>
        <v/>
      </c>
      <c r="F123" s="10" t="str">
        <f aca="false">IFERROR(INDEX('Model Pricing'!$O$2:$O$52,MATCH(B123,'Model Pricing'!$A$2:$A$52,0)),"")</f>
        <v/>
      </c>
      <c r="G123" s="10" t="n">
        <f aca="false">IFERROR(C123*D123,"")</f>
        <v>0</v>
      </c>
      <c r="H123" s="10" t="str">
        <f aca="false">IFERROR(C123*F123,"")</f>
        <v/>
      </c>
      <c r="I123" s="10" t="str">
        <f aca="false">IFERROR(G123-H123,"")</f>
        <v/>
      </c>
      <c r="J123" s="21"/>
    </row>
    <row r="124" customFormat="false" ht="15" hidden="false" customHeight="true" outlineLevel="0" collapsed="false">
      <c r="A124" s="20"/>
      <c r="B124" s="21"/>
      <c r="C124" s="21"/>
      <c r="D124" s="21"/>
      <c r="E124" s="10" t="str">
        <f aca="false">IFERROR(INDEX('Model Pricing'!$E$2:$E$52,MATCH(B124,'Model Pricing'!$A$2:$A$52,0)),"")</f>
        <v/>
      </c>
      <c r="F124" s="10" t="str">
        <f aca="false">IFERROR(INDEX('Model Pricing'!$O$2:$O$52,MATCH(B124,'Model Pricing'!$A$2:$A$52,0)),"")</f>
        <v/>
      </c>
      <c r="G124" s="10" t="n">
        <f aca="false">IFERROR(C124*D124,"")</f>
        <v>0</v>
      </c>
      <c r="H124" s="10" t="str">
        <f aca="false">IFERROR(C124*F124,"")</f>
        <v/>
      </c>
      <c r="I124" s="10" t="str">
        <f aca="false">IFERROR(G124-H124,"")</f>
        <v/>
      </c>
      <c r="J124" s="21"/>
    </row>
    <row r="125" customFormat="false" ht="15" hidden="false" customHeight="true" outlineLevel="0" collapsed="false">
      <c r="A125" s="20"/>
      <c r="B125" s="21"/>
      <c r="C125" s="21"/>
      <c r="D125" s="21"/>
      <c r="E125" s="10" t="str">
        <f aca="false">IFERROR(INDEX('Model Pricing'!$E$2:$E$52,MATCH(B125,'Model Pricing'!$A$2:$A$52,0)),"")</f>
        <v/>
      </c>
      <c r="F125" s="10" t="str">
        <f aca="false">IFERROR(INDEX('Model Pricing'!$O$2:$O$52,MATCH(B125,'Model Pricing'!$A$2:$A$52,0)),"")</f>
        <v/>
      </c>
      <c r="G125" s="10" t="n">
        <f aca="false">IFERROR(C125*D125,"")</f>
        <v>0</v>
      </c>
      <c r="H125" s="10" t="str">
        <f aca="false">IFERROR(C125*F125,"")</f>
        <v/>
      </c>
      <c r="I125" s="10" t="str">
        <f aca="false">IFERROR(G125-H125,"")</f>
        <v/>
      </c>
      <c r="J125" s="21"/>
    </row>
    <row r="126" customFormat="false" ht="15" hidden="false" customHeight="true" outlineLevel="0" collapsed="false">
      <c r="A126" s="20"/>
      <c r="B126" s="21"/>
      <c r="C126" s="21"/>
      <c r="D126" s="21"/>
      <c r="E126" s="10" t="str">
        <f aca="false">IFERROR(INDEX('Model Pricing'!$E$2:$E$52,MATCH(B126,'Model Pricing'!$A$2:$A$52,0)),"")</f>
        <v/>
      </c>
      <c r="F126" s="10" t="str">
        <f aca="false">IFERROR(INDEX('Model Pricing'!$O$2:$O$52,MATCH(B126,'Model Pricing'!$A$2:$A$52,0)),"")</f>
        <v/>
      </c>
      <c r="G126" s="10" t="n">
        <f aca="false">IFERROR(C126*D126,"")</f>
        <v>0</v>
      </c>
      <c r="H126" s="10" t="str">
        <f aca="false">IFERROR(C126*F126,"")</f>
        <v/>
      </c>
      <c r="I126" s="10" t="str">
        <f aca="false">IFERROR(G126-H126,"")</f>
        <v/>
      </c>
      <c r="J126" s="21"/>
    </row>
    <row r="127" customFormat="false" ht="15" hidden="false" customHeight="true" outlineLevel="0" collapsed="false">
      <c r="A127" s="20"/>
      <c r="B127" s="21"/>
      <c r="C127" s="21"/>
      <c r="D127" s="21"/>
      <c r="E127" s="10" t="str">
        <f aca="false">IFERROR(INDEX('Model Pricing'!$E$2:$E$52,MATCH(B127,'Model Pricing'!$A$2:$A$52,0)),"")</f>
        <v/>
      </c>
      <c r="F127" s="10" t="str">
        <f aca="false">IFERROR(INDEX('Model Pricing'!$O$2:$O$52,MATCH(B127,'Model Pricing'!$A$2:$A$52,0)),"")</f>
        <v/>
      </c>
      <c r="G127" s="10" t="n">
        <f aca="false">IFERROR(C127*D127,"")</f>
        <v>0</v>
      </c>
      <c r="H127" s="10" t="str">
        <f aca="false">IFERROR(C127*F127,"")</f>
        <v/>
      </c>
      <c r="I127" s="10" t="str">
        <f aca="false">IFERROR(G127-H127,"")</f>
        <v/>
      </c>
      <c r="J127" s="21"/>
    </row>
    <row r="128" customFormat="false" ht="15" hidden="false" customHeight="true" outlineLevel="0" collapsed="false">
      <c r="A128" s="20"/>
      <c r="B128" s="21"/>
      <c r="C128" s="21"/>
      <c r="D128" s="21"/>
      <c r="E128" s="10" t="str">
        <f aca="false">IFERROR(INDEX('Model Pricing'!$E$2:$E$52,MATCH(B128,'Model Pricing'!$A$2:$A$52,0)),"")</f>
        <v/>
      </c>
      <c r="F128" s="10" t="str">
        <f aca="false">IFERROR(INDEX('Model Pricing'!$O$2:$O$52,MATCH(B128,'Model Pricing'!$A$2:$A$52,0)),"")</f>
        <v/>
      </c>
      <c r="G128" s="10" t="n">
        <f aca="false">IFERROR(C128*D128,"")</f>
        <v>0</v>
      </c>
      <c r="H128" s="10" t="str">
        <f aca="false">IFERROR(C128*F128,"")</f>
        <v/>
      </c>
      <c r="I128" s="10" t="str">
        <f aca="false">IFERROR(G128-H128,"")</f>
        <v/>
      </c>
      <c r="J128" s="21"/>
    </row>
    <row r="129" customFormat="false" ht="15" hidden="false" customHeight="true" outlineLevel="0" collapsed="false">
      <c r="A129" s="20"/>
      <c r="B129" s="21"/>
      <c r="C129" s="21"/>
      <c r="D129" s="21"/>
      <c r="E129" s="10" t="str">
        <f aca="false">IFERROR(INDEX('Model Pricing'!$E$2:$E$52,MATCH(B129,'Model Pricing'!$A$2:$A$52,0)),"")</f>
        <v/>
      </c>
      <c r="F129" s="10" t="str">
        <f aca="false">IFERROR(INDEX('Model Pricing'!$O$2:$O$52,MATCH(B129,'Model Pricing'!$A$2:$A$52,0)),"")</f>
        <v/>
      </c>
      <c r="G129" s="10" t="n">
        <f aca="false">IFERROR(C129*D129,"")</f>
        <v>0</v>
      </c>
      <c r="H129" s="10" t="str">
        <f aca="false">IFERROR(C129*F129,"")</f>
        <v/>
      </c>
      <c r="I129" s="10" t="str">
        <f aca="false">IFERROR(G129-H129,"")</f>
        <v/>
      </c>
      <c r="J129" s="21"/>
    </row>
    <row r="130" customFormat="false" ht="15" hidden="false" customHeight="true" outlineLevel="0" collapsed="false">
      <c r="A130" s="20"/>
      <c r="B130" s="21"/>
      <c r="C130" s="21"/>
      <c r="D130" s="21"/>
      <c r="E130" s="10" t="str">
        <f aca="false">IFERROR(INDEX('Model Pricing'!$E$2:$E$52,MATCH(B130,'Model Pricing'!$A$2:$A$52,0)),"")</f>
        <v/>
      </c>
      <c r="F130" s="10" t="str">
        <f aca="false">IFERROR(INDEX('Model Pricing'!$O$2:$O$52,MATCH(B130,'Model Pricing'!$A$2:$A$52,0)),"")</f>
        <v/>
      </c>
      <c r="G130" s="10" t="n">
        <f aca="false">IFERROR(C130*D130,"")</f>
        <v>0</v>
      </c>
      <c r="H130" s="10" t="str">
        <f aca="false">IFERROR(C130*F130,"")</f>
        <v/>
      </c>
      <c r="I130" s="10" t="str">
        <f aca="false">IFERROR(G130-H130,"")</f>
        <v/>
      </c>
      <c r="J130" s="21"/>
    </row>
    <row r="131" customFormat="false" ht="15" hidden="false" customHeight="true" outlineLevel="0" collapsed="false">
      <c r="A131" s="20"/>
      <c r="B131" s="21"/>
      <c r="C131" s="21"/>
      <c r="D131" s="21"/>
      <c r="E131" s="10" t="str">
        <f aca="false">IFERROR(INDEX('Model Pricing'!$E$2:$E$52,MATCH(B131,'Model Pricing'!$A$2:$A$52,0)),"")</f>
        <v/>
      </c>
      <c r="F131" s="10" t="str">
        <f aca="false">IFERROR(INDEX('Model Pricing'!$O$2:$O$52,MATCH(B131,'Model Pricing'!$A$2:$A$52,0)),"")</f>
        <v/>
      </c>
      <c r="G131" s="10" t="n">
        <f aca="false">IFERROR(C131*D131,"")</f>
        <v>0</v>
      </c>
      <c r="H131" s="10" t="str">
        <f aca="false">IFERROR(C131*F131,"")</f>
        <v/>
      </c>
      <c r="I131" s="10" t="str">
        <f aca="false">IFERROR(G131-H131,"")</f>
        <v/>
      </c>
      <c r="J131" s="21"/>
    </row>
    <row r="132" customFormat="false" ht="15" hidden="false" customHeight="true" outlineLevel="0" collapsed="false">
      <c r="A132" s="20"/>
      <c r="B132" s="21"/>
      <c r="C132" s="21"/>
      <c r="D132" s="21"/>
      <c r="E132" s="10" t="str">
        <f aca="false">IFERROR(INDEX('Model Pricing'!$E$2:$E$52,MATCH(B132,'Model Pricing'!$A$2:$A$52,0)),"")</f>
        <v/>
      </c>
      <c r="F132" s="10" t="str">
        <f aca="false">IFERROR(INDEX('Model Pricing'!$O$2:$O$52,MATCH(B132,'Model Pricing'!$A$2:$A$52,0)),"")</f>
        <v/>
      </c>
      <c r="G132" s="10" t="n">
        <f aca="false">IFERROR(C132*D132,"")</f>
        <v>0</v>
      </c>
      <c r="H132" s="10" t="str">
        <f aca="false">IFERROR(C132*F132,"")</f>
        <v/>
      </c>
      <c r="I132" s="10" t="str">
        <f aca="false">IFERROR(G132-H132,"")</f>
        <v/>
      </c>
      <c r="J132" s="21"/>
    </row>
    <row r="133" customFormat="false" ht="15" hidden="false" customHeight="true" outlineLevel="0" collapsed="false">
      <c r="A133" s="20"/>
      <c r="B133" s="21"/>
      <c r="C133" s="21"/>
      <c r="D133" s="21"/>
      <c r="E133" s="10" t="str">
        <f aca="false">IFERROR(INDEX('Model Pricing'!$E$2:$E$52,MATCH(B133,'Model Pricing'!$A$2:$A$52,0)),"")</f>
        <v/>
      </c>
      <c r="F133" s="10" t="str">
        <f aca="false">IFERROR(INDEX('Model Pricing'!$O$2:$O$52,MATCH(B133,'Model Pricing'!$A$2:$A$52,0)),"")</f>
        <v/>
      </c>
      <c r="G133" s="10" t="n">
        <f aca="false">IFERROR(C133*D133,"")</f>
        <v>0</v>
      </c>
      <c r="H133" s="10" t="str">
        <f aca="false">IFERROR(C133*F133,"")</f>
        <v/>
      </c>
      <c r="I133" s="10" t="str">
        <f aca="false">IFERROR(G133-H133,"")</f>
        <v/>
      </c>
      <c r="J133" s="21"/>
    </row>
    <row r="134" customFormat="false" ht="15" hidden="false" customHeight="true" outlineLevel="0" collapsed="false">
      <c r="A134" s="20"/>
      <c r="B134" s="21"/>
      <c r="C134" s="21"/>
      <c r="D134" s="21"/>
      <c r="E134" s="10" t="str">
        <f aca="false">IFERROR(INDEX('Model Pricing'!$E$2:$E$52,MATCH(B134,'Model Pricing'!$A$2:$A$52,0)),"")</f>
        <v/>
      </c>
      <c r="F134" s="10" t="str">
        <f aca="false">IFERROR(INDEX('Model Pricing'!$O$2:$O$52,MATCH(B134,'Model Pricing'!$A$2:$A$52,0)),"")</f>
        <v/>
      </c>
      <c r="G134" s="10" t="n">
        <f aca="false">IFERROR(C134*D134,"")</f>
        <v>0</v>
      </c>
      <c r="H134" s="10" t="str">
        <f aca="false">IFERROR(C134*F134,"")</f>
        <v/>
      </c>
      <c r="I134" s="10" t="str">
        <f aca="false">IFERROR(G134-H134,"")</f>
        <v/>
      </c>
      <c r="J134" s="21"/>
    </row>
    <row r="135" customFormat="false" ht="15" hidden="false" customHeight="true" outlineLevel="0" collapsed="false">
      <c r="A135" s="20"/>
      <c r="B135" s="21"/>
      <c r="C135" s="21"/>
      <c r="D135" s="21"/>
      <c r="E135" s="10" t="str">
        <f aca="false">IFERROR(INDEX('Model Pricing'!$E$2:$E$52,MATCH(B135,'Model Pricing'!$A$2:$A$52,0)),"")</f>
        <v/>
      </c>
      <c r="F135" s="10" t="str">
        <f aca="false">IFERROR(INDEX('Model Pricing'!$O$2:$O$52,MATCH(B135,'Model Pricing'!$A$2:$A$52,0)),"")</f>
        <v/>
      </c>
      <c r="G135" s="10" t="n">
        <f aca="false">IFERROR(C135*D135,"")</f>
        <v>0</v>
      </c>
      <c r="H135" s="10" t="str">
        <f aca="false">IFERROR(C135*F135,"")</f>
        <v/>
      </c>
      <c r="I135" s="10" t="str">
        <f aca="false">IFERROR(G135-H135,"")</f>
        <v/>
      </c>
      <c r="J135" s="21"/>
    </row>
    <row r="136" customFormat="false" ht="15" hidden="false" customHeight="true" outlineLevel="0" collapsed="false">
      <c r="A136" s="20"/>
      <c r="B136" s="21"/>
      <c r="C136" s="21"/>
      <c r="D136" s="21"/>
      <c r="E136" s="10" t="str">
        <f aca="false">IFERROR(INDEX('Model Pricing'!$E$2:$E$52,MATCH(B136,'Model Pricing'!$A$2:$A$52,0)),"")</f>
        <v/>
      </c>
      <c r="F136" s="10" t="str">
        <f aca="false">IFERROR(INDEX('Model Pricing'!$O$2:$O$52,MATCH(B136,'Model Pricing'!$A$2:$A$52,0)),"")</f>
        <v/>
      </c>
      <c r="G136" s="10" t="n">
        <f aca="false">IFERROR(C136*D136,"")</f>
        <v>0</v>
      </c>
      <c r="H136" s="10" t="str">
        <f aca="false">IFERROR(C136*F136,"")</f>
        <v/>
      </c>
      <c r="I136" s="10" t="str">
        <f aca="false">IFERROR(G136-H136,"")</f>
        <v/>
      </c>
      <c r="J136" s="21"/>
    </row>
    <row r="137" customFormat="false" ht="15" hidden="false" customHeight="true" outlineLevel="0" collapsed="false">
      <c r="A137" s="20"/>
      <c r="B137" s="21"/>
      <c r="C137" s="21"/>
      <c r="D137" s="21"/>
      <c r="E137" s="10" t="str">
        <f aca="false">IFERROR(INDEX('Model Pricing'!$E$2:$E$52,MATCH(B137,'Model Pricing'!$A$2:$A$52,0)),"")</f>
        <v/>
      </c>
      <c r="F137" s="10" t="str">
        <f aca="false">IFERROR(INDEX('Model Pricing'!$O$2:$O$52,MATCH(B137,'Model Pricing'!$A$2:$A$52,0)),"")</f>
        <v/>
      </c>
      <c r="G137" s="10" t="n">
        <f aca="false">IFERROR(C137*D137,"")</f>
        <v>0</v>
      </c>
      <c r="H137" s="10" t="str">
        <f aca="false">IFERROR(C137*F137,"")</f>
        <v/>
      </c>
      <c r="I137" s="10" t="str">
        <f aca="false">IFERROR(G137-H137,"")</f>
        <v/>
      </c>
      <c r="J137" s="21"/>
    </row>
    <row r="138" customFormat="false" ht="15" hidden="false" customHeight="true" outlineLevel="0" collapsed="false">
      <c r="A138" s="20"/>
      <c r="B138" s="21"/>
      <c r="C138" s="21"/>
      <c r="D138" s="21"/>
      <c r="E138" s="10" t="str">
        <f aca="false">IFERROR(INDEX('Model Pricing'!$E$2:$E$52,MATCH(B138,'Model Pricing'!$A$2:$A$52,0)),"")</f>
        <v/>
      </c>
      <c r="F138" s="10" t="str">
        <f aca="false">IFERROR(INDEX('Model Pricing'!$O$2:$O$52,MATCH(B138,'Model Pricing'!$A$2:$A$52,0)),"")</f>
        <v/>
      </c>
      <c r="G138" s="10" t="n">
        <f aca="false">IFERROR(C138*D138,"")</f>
        <v>0</v>
      </c>
      <c r="H138" s="10" t="str">
        <f aca="false">IFERROR(C138*F138,"")</f>
        <v/>
      </c>
      <c r="I138" s="10" t="str">
        <f aca="false">IFERROR(G138-H138,"")</f>
        <v/>
      </c>
      <c r="J138" s="21"/>
    </row>
    <row r="139" customFormat="false" ht="15" hidden="false" customHeight="true" outlineLevel="0" collapsed="false">
      <c r="A139" s="20"/>
      <c r="B139" s="21"/>
      <c r="C139" s="21"/>
      <c r="D139" s="21"/>
      <c r="E139" s="10" t="str">
        <f aca="false">IFERROR(INDEX('Model Pricing'!$E$2:$E$52,MATCH(B139,'Model Pricing'!$A$2:$A$52,0)),"")</f>
        <v/>
      </c>
      <c r="F139" s="10" t="str">
        <f aca="false">IFERROR(INDEX('Model Pricing'!$O$2:$O$52,MATCH(B139,'Model Pricing'!$A$2:$A$52,0)),"")</f>
        <v/>
      </c>
      <c r="G139" s="10" t="n">
        <f aca="false">IFERROR(C139*D139,"")</f>
        <v>0</v>
      </c>
      <c r="H139" s="10" t="str">
        <f aca="false">IFERROR(C139*F139,"")</f>
        <v/>
      </c>
      <c r="I139" s="10" t="str">
        <f aca="false">IFERROR(G139-H139,"")</f>
        <v/>
      </c>
      <c r="J139" s="21"/>
    </row>
    <row r="140" customFormat="false" ht="15" hidden="false" customHeight="true" outlineLevel="0" collapsed="false">
      <c r="A140" s="20"/>
      <c r="B140" s="21"/>
      <c r="C140" s="21"/>
      <c r="D140" s="21"/>
      <c r="E140" s="10" t="str">
        <f aca="false">IFERROR(INDEX('Model Pricing'!$E$2:$E$52,MATCH(B140,'Model Pricing'!$A$2:$A$52,0)),"")</f>
        <v/>
      </c>
      <c r="F140" s="10" t="str">
        <f aca="false">IFERROR(INDEX('Model Pricing'!$O$2:$O$52,MATCH(B140,'Model Pricing'!$A$2:$A$52,0)),"")</f>
        <v/>
      </c>
      <c r="G140" s="10" t="n">
        <f aca="false">IFERROR(C140*D140,"")</f>
        <v>0</v>
      </c>
      <c r="H140" s="10" t="str">
        <f aca="false">IFERROR(C140*F140,"")</f>
        <v/>
      </c>
      <c r="I140" s="10" t="str">
        <f aca="false">IFERROR(G140-H140,"")</f>
        <v/>
      </c>
      <c r="J140" s="21"/>
    </row>
    <row r="141" customFormat="false" ht="15" hidden="false" customHeight="true" outlineLevel="0" collapsed="false">
      <c r="A141" s="20"/>
      <c r="B141" s="21"/>
      <c r="C141" s="21"/>
      <c r="D141" s="21"/>
      <c r="E141" s="10" t="str">
        <f aca="false">IFERROR(INDEX('Model Pricing'!$E$2:$E$52,MATCH(B141,'Model Pricing'!$A$2:$A$52,0)),"")</f>
        <v/>
      </c>
      <c r="F141" s="10" t="str">
        <f aca="false">IFERROR(INDEX('Model Pricing'!$O$2:$O$52,MATCH(B141,'Model Pricing'!$A$2:$A$52,0)),"")</f>
        <v/>
      </c>
      <c r="G141" s="10" t="n">
        <f aca="false">IFERROR(C141*D141,"")</f>
        <v>0</v>
      </c>
      <c r="H141" s="10" t="str">
        <f aca="false">IFERROR(C141*F141,"")</f>
        <v/>
      </c>
      <c r="I141" s="10" t="str">
        <f aca="false">IFERROR(G141-H141,"")</f>
        <v/>
      </c>
      <c r="J141" s="21"/>
    </row>
    <row r="142" customFormat="false" ht="15" hidden="false" customHeight="true" outlineLevel="0" collapsed="false">
      <c r="A142" s="20"/>
      <c r="B142" s="21"/>
      <c r="C142" s="21"/>
      <c r="D142" s="21"/>
      <c r="E142" s="10" t="str">
        <f aca="false">IFERROR(INDEX('Model Pricing'!$E$2:$E$52,MATCH(B142,'Model Pricing'!$A$2:$A$52,0)),"")</f>
        <v/>
      </c>
      <c r="F142" s="10" t="str">
        <f aca="false">IFERROR(INDEX('Model Pricing'!$O$2:$O$52,MATCH(B142,'Model Pricing'!$A$2:$A$52,0)),"")</f>
        <v/>
      </c>
      <c r="G142" s="10" t="n">
        <f aca="false">IFERROR(C142*D142,"")</f>
        <v>0</v>
      </c>
      <c r="H142" s="10" t="str">
        <f aca="false">IFERROR(C142*F142,"")</f>
        <v/>
      </c>
      <c r="I142" s="10" t="str">
        <f aca="false">IFERROR(G142-H142,"")</f>
        <v/>
      </c>
      <c r="J142" s="21"/>
    </row>
    <row r="143" customFormat="false" ht="15" hidden="false" customHeight="true" outlineLevel="0" collapsed="false">
      <c r="A143" s="20"/>
      <c r="B143" s="21"/>
      <c r="C143" s="21"/>
      <c r="D143" s="21"/>
      <c r="E143" s="10" t="str">
        <f aca="false">IFERROR(INDEX('Model Pricing'!$E$2:$E$52,MATCH(B143,'Model Pricing'!$A$2:$A$52,0)),"")</f>
        <v/>
      </c>
      <c r="F143" s="10" t="str">
        <f aca="false">IFERROR(INDEX('Model Pricing'!$O$2:$O$52,MATCH(B143,'Model Pricing'!$A$2:$A$52,0)),"")</f>
        <v/>
      </c>
      <c r="G143" s="10" t="n">
        <f aca="false">IFERROR(C143*D143,"")</f>
        <v>0</v>
      </c>
      <c r="H143" s="10" t="str">
        <f aca="false">IFERROR(C143*F143,"")</f>
        <v/>
      </c>
      <c r="I143" s="10" t="str">
        <f aca="false">IFERROR(G143-H143,"")</f>
        <v/>
      </c>
      <c r="J143" s="21"/>
    </row>
    <row r="144" customFormat="false" ht="15" hidden="false" customHeight="true" outlineLevel="0" collapsed="false">
      <c r="A144" s="20"/>
      <c r="B144" s="21"/>
      <c r="C144" s="21"/>
      <c r="D144" s="21"/>
      <c r="E144" s="10" t="str">
        <f aca="false">IFERROR(INDEX('Model Pricing'!$E$2:$E$52,MATCH(B144,'Model Pricing'!$A$2:$A$52,0)),"")</f>
        <v/>
      </c>
      <c r="F144" s="10" t="str">
        <f aca="false">IFERROR(INDEX('Model Pricing'!$O$2:$O$52,MATCH(B144,'Model Pricing'!$A$2:$A$52,0)),"")</f>
        <v/>
      </c>
      <c r="G144" s="10" t="n">
        <f aca="false">IFERROR(C144*D144,"")</f>
        <v>0</v>
      </c>
      <c r="H144" s="10" t="str">
        <f aca="false">IFERROR(C144*F144,"")</f>
        <v/>
      </c>
      <c r="I144" s="10" t="str">
        <f aca="false">IFERROR(G144-H144,"")</f>
        <v/>
      </c>
      <c r="J144" s="21"/>
    </row>
    <row r="145" customFormat="false" ht="15" hidden="false" customHeight="true" outlineLevel="0" collapsed="false">
      <c r="A145" s="20"/>
      <c r="B145" s="21"/>
      <c r="C145" s="21"/>
      <c r="D145" s="21"/>
      <c r="E145" s="10" t="str">
        <f aca="false">IFERROR(INDEX('Model Pricing'!$E$2:$E$52,MATCH(B145,'Model Pricing'!$A$2:$A$52,0)),"")</f>
        <v/>
      </c>
      <c r="F145" s="10" t="str">
        <f aca="false">IFERROR(INDEX('Model Pricing'!$O$2:$O$52,MATCH(B145,'Model Pricing'!$A$2:$A$52,0)),"")</f>
        <v/>
      </c>
      <c r="G145" s="10" t="n">
        <f aca="false">IFERROR(C145*D145,"")</f>
        <v>0</v>
      </c>
      <c r="H145" s="10" t="str">
        <f aca="false">IFERROR(C145*F145,"")</f>
        <v/>
      </c>
      <c r="I145" s="10" t="str">
        <f aca="false">IFERROR(G145-H145,"")</f>
        <v/>
      </c>
      <c r="J145" s="21"/>
    </row>
    <row r="146" customFormat="false" ht="15" hidden="false" customHeight="true" outlineLevel="0" collapsed="false">
      <c r="A146" s="20"/>
      <c r="B146" s="21"/>
      <c r="C146" s="21"/>
      <c r="D146" s="21"/>
      <c r="E146" s="10" t="str">
        <f aca="false">IFERROR(INDEX('Model Pricing'!$E$2:$E$52,MATCH(B146,'Model Pricing'!$A$2:$A$52,0)),"")</f>
        <v/>
      </c>
      <c r="F146" s="10" t="str">
        <f aca="false">IFERROR(INDEX('Model Pricing'!$O$2:$O$52,MATCH(B146,'Model Pricing'!$A$2:$A$52,0)),"")</f>
        <v/>
      </c>
      <c r="G146" s="10" t="n">
        <f aca="false">IFERROR(C146*D146,"")</f>
        <v>0</v>
      </c>
      <c r="H146" s="10" t="str">
        <f aca="false">IFERROR(C146*F146,"")</f>
        <v/>
      </c>
      <c r="I146" s="10" t="str">
        <f aca="false">IFERROR(G146-H146,"")</f>
        <v/>
      </c>
      <c r="J146" s="21"/>
    </row>
    <row r="147" customFormat="false" ht="15" hidden="false" customHeight="true" outlineLevel="0" collapsed="false">
      <c r="A147" s="20"/>
      <c r="B147" s="21"/>
      <c r="C147" s="21"/>
      <c r="D147" s="21"/>
      <c r="E147" s="10" t="str">
        <f aca="false">IFERROR(INDEX('Model Pricing'!$E$2:$E$52,MATCH(B147,'Model Pricing'!$A$2:$A$52,0)),"")</f>
        <v/>
      </c>
      <c r="F147" s="10" t="str">
        <f aca="false">IFERROR(INDEX('Model Pricing'!$O$2:$O$52,MATCH(B147,'Model Pricing'!$A$2:$A$52,0)),"")</f>
        <v/>
      </c>
      <c r="G147" s="10" t="n">
        <f aca="false">IFERROR(C147*D147,"")</f>
        <v>0</v>
      </c>
      <c r="H147" s="10" t="str">
        <f aca="false">IFERROR(C147*F147,"")</f>
        <v/>
      </c>
      <c r="I147" s="10" t="str">
        <f aca="false">IFERROR(G147-H147,"")</f>
        <v/>
      </c>
      <c r="J147" s="21"/>
    </row>
    <row r="148" customFormat="false" ht="15" hidden="false" customHeight="true" outlineLevel="0" collapsed="false">
      <c r="A148" s="20"/>
      <c r="B148" s="21"/>
      <c r="C148" s="21"/>
      <c r="D148" s="21"/>
      <c r="E148" s="10" t="str">
        <f aca="false">IFERROR(INDEX('Model Pricing'!$E$2:$E$52,MATCH(B148,'Model Pricing'!$A$2:$A$52,0)),"")</f>
        <v/>
      </c>
      <c r="F148" s="10" t="str">
        <f aca="false">IFERROR(INDEX('Model Pricing'!$O$2:$O$52,MATCH(B148,'Model Pricing'!$A$2:$A$52,0)),"")</f>
        <v/>
      </c>
      <c r="G148" s="10" t="n">
        <f aca="false">IFERROR(C148*D148,"")</f>
        <v>0</v>
      </c>
      <c r="H148" s="10" t="str">
        <f aca="false">IFERROR(C148*F148,"")</f>
        <v/>
      </c>
      <c r="I148" s="10" t="str">
        <f aca="false">IFERROR(G148-H148,"")</f>
        <v/>
      </c>
      <c r="J148" s="21"/>
    </row>
    <row r="149" customFormat="false" ht="15" hidden="false" customHeight="true" outlineLevel="0" collapsed="false">
      <c r="A149" s="20"/>
      <c r="B149" s="21"/>
      <c r="C149" s="21"/>
      <c r="D149" s="21"/>
      <c r="E149" s="10" t="str">
        <f aca="false">IFERROR(INDEX('Model Pricing'!$E$2:$E$52,MATCH(B149,'Model Pricing'!$A$2:$A$52,0)),"")</f>
        <v/>
      </c>
      <c r="F149" s="10" t="str">
        <f aca="false">IFERROR(INDEX('Model Pricing'!$O$2:$O$52,MATCH(B149,'Model Pricing'!$A$2:$A$52,0)),"")</f>
        <v/>
      </c>
      <c r="G149" s="10" t="n">
        <f aca="false">IFERROR(C149*D149,"")</f>
        <v>0</v>
      </c>
      <c r="H149" s="10" t="str">
        <f aca="false">IFERROR(C149*F149,"")</f>
        <v/>
      </c>
      <c r="I149" s="10" t="str">
        <f aca="false">IFERROR(G149-H149,"")</f>
        <v/>
      </c>
      <c r="J149" s="21"/>
    </row>
    <row r="150" customFormat="false" ht="15" hidden="false" customHeight="true" outlineLevel="0" collapsed="false">
      <c r="A150" s="20"/>
      <c r="B150" s="21"/>
      <c r="C150" s="21"/>
      <c r="D150" s="21"/>
      <c r="E150" s="10" t="str">
        <f aca="false">IFERROR(INDEX('Model Pricing'!$E$2:$E$52,MATCH(B150,'Model Pricing'!$A$2:$A$52,0)),"")</f>
        <v/>
      </c>
      <c r="F150" s="10" t="str">
        <f aca="false">IFERROR(INDEX('Model Pricing'!$O$2:$O$52,MATCH(B150,'Model Pricing'!$A$2:$A$52,0)),"")</f>
        <v/>
      </c>
      <c r="G150" s="10" t="n">
        <f aca="false">IFERROR(C150*D150,"")</f>
        <v>0</v>
      </c>
      <c r="H150" s="10" t="str">
        <f aca="false">IFERROR(C150*F150,"")</f>
        <v/>
      </c>
      <c r="I150" s="10" t="str">
        <f aca="false">IFERROR(G150-H150,"")</f>
        <v/>
      </c>
      <c r="J150" s="21"/>
    </row>
    <row r="151" customFormat="false" ht="15" hidden="false" customHeight="true" outlineLevel="0" collapsed="false">
      <c r="A151" s="20"/>
      <c r="B151" s="21"/>
      <c r="C151" s="21"/>
      <c r="D151" s="21"/>
      <c r="E151" s="10" t="str">
        <f aca="false">IFERROR(INDEX('Model Pricing'!$E$2:$E$52,MATCH(B151,'Model Pricing'!$A$2:$A$52,0)),"")</f>
        <v/>
      </c>
      <c r="F151" s="10" t="str">
        <f aca="false">IFERROR(INDEX('Model Pricing'!$O$2:$O$52,MATCH(B151,'Model Pricing'!$A$2:$A$52,0)),"")</f>
        <v/>
      </c>
      <c r="G151" s="10" t="n">
        <f aca="false">IFERROR(C151*D151,"")</f>
        <v>0</v>
      </c>
      <c r="H151" s="10" t="str">
        <f aca="false">IFERROR(C151*F151,"")</f>
        <v/>
      </c>
      <c r="I151" s="10" t="str">
        <f aca="false">IFERROR(G151-H151,"")</f>
        <v/>
      </c>
      <c r="J151" s="21"/>
    </row>
    <row r="152" customFormat="false" ht="15" hidden="false" customHeight="true" outlineLevel="0" collapsed="false">
      <c r="A152" s="20"/>
      <c r="B152" s="21"/>
      <c r="C152" s="21"/>
      <c r="D152" s="21"/>
      <c r="E152" s="10" t="str">
        <f aca="false">IFERROR(INDEX('Model Pricing'!$E$2:$E$52,MATCH(B152,'Model Pricing'!$A$2:$A$52,0)),"")</f>
        <v/>
      </c>
      <c r="F152" s="10" t="str">
        <f aca="false">IFERROR(INDEX('Model Pricing'!$O$2:$O$52,MATCH(B152,'Model Pricing'!$A$2:$A$52,0)),"")</f>
        <v/>
      </c>
      <c r="G152" s="10" t="n">
        <f aca="false">IFERROR(C152*D152,"")</f>
        <v>0</v>
      </c>
      <c r="H152" s="10" t="str">
        <f aca="false">IFERROR(C152*F152,"")</f>
        <v/>
      </c>
      <c r="I152" s="10" t="str">
        <f aca="false">IFERROR(G152-H152,"")</f>
        <v/>
      </c>
      <c r="J152" s="21"/>
    </row>
    <row r="153" customFormat="false" ht="15" hidden="false" customHeight="true" outlineLevel="0" collapsed="false">
      <c r="A153" s="20"/>
      <c r="B153" s="21"/>
      <c r="C153" s="21"/>
      <c r="D153" s="21"/>
      <c r="E153" s="10" t="str">
        <f aca="false">IFERROR(INDEX('Model Pricing'!$E$2:$E$52,MATCH(B153,'Model Pricing'!$A$2:$A$52,0)),"")</f>
        <v/>
      </c>
      <c r="F153" s="10" t="str">
        <f aca="false">IFERROR(INDEX('Model Pricing'!$O$2:$O$52,MATCH(B153,'Model Pricing'!$A$2:$A$52,0)),"")</f>
        <v/>
      </c>
      <c r="G153" s="10" t="n">
        <f aca="false">IFERROR(C153*D153,"")</f>
        <v>0</v>
      </c>
      <c r="H153" s="10" t="str">
        <f aca="false">IFERROR(C153*F153,"")</f>
        <v/>
      </c>
      <c r="I153" s="10" t="str">
        <f aca="false">IFERROR(G153-H153,"")</f>
        <v/>
      </c>
      <c r="J153" s="21"/>
    </row>
    <row r="154" customFormat="false" ht="15" hidden="false" customHeight="true" outlineLevel="0" collapsed="false">
      <c r="A154" s="20"/>
      <c r="B154" s="21"/>
      <c r="C154" s="21"/>
      <c r="D154" s="21"/>
      <c r="E154" s="10" t="str">
        <f aca="false">IFERROR(INDEX('Model Pricing'!$E$2:$E$52,MATCH(B154,'Model Pricing'!$A$2:$A$52,0)),"")</f>
        <v/>
      </c>
      <c r="F154" s="10" t="str">
        <f aca="false">IFERROR(INDEX('Model Pricing'!$O$2:$O$52,MATCH(B154,'Model Pricing'!$A$2:$A$52,0)),"")</f>
        <v/>
      </c>
      <c r="G154" s="10" t="n">
        <f aca="false">IFERROR(C154*D154,"")</f>
        <v>0</v>
      </c>
      <c r="H154" s="10" t="str">
        <f aca="false">IFERROR(C154*F154,"")</f>
        <v/>
      </c>
      <c r="I154" s="10" t="str">
        <f aca="false">IFERROR(G154-H154,"")</f>
        <v/>
      </c>
      <c r="J154" s="21"/>
    </row>
    <row r="155" customFormat="false" ht="15" hidden="false" customHeight="true" outlineLevel="0" collapsed="false">
      <c r="A155" s="20"/>
      <c r="B155" s="21"/>
      <c r="C155" s="21"/>
      <c r="D155" s="21"/>
      <c r="E155" s="10" t="str">
        <f aca="false">IFERROR(INDEX('Model Pricing'!$E$2:$E$52,MATCH(B155,'Model Pricing'!$A$2:$A$52,0)),"")</f>
        <v/>
      </c>
      <c r="F155" s="10" t="str">
        <f aca="false">IFERROR(INDEX('Model Pricing'!$O$2:$O$52,MATCH(B155,'Model Pricing'!$A$2:$A$52,0)),"")</f>
        <v/>
      </c>
      <c r="G155" s="10" t="n">
        <f aca="false">IFERROR(C155*D155,"")</f>
        <v>0</v>
      </c>
      <c r="H155" s="10" t="str">
        <f aca="false">IFERROR(C155*F155,"")</f>
        <v/>
      </c>
      <c r="I155" s="10" t="str">
        <f aca="false">IFERROR(G155-H155,"")</f>
        <v/>
      </c>
      <c r="J155" s="21"/>
    </row>
    <row r="156" customFormat="false" ht="15" hidden="false" customHeight="true" outlineLevel="0" collapsed="false">
      <c r="A156" s="20"/>
      <c r="B156" s="21"/>
      <c r="C156" s="21"/>
      <c r="D156" s="21"/>
      <c r="E156" s="10" t="str">
        <f aca="false">IFERROR(INDEX('Model Pricing'!$E$2:$E$52,MATCH(B156,'Model Pricing'!$A$2:$A$52,0)),"")</f>
        <v/>
      </c>
      <c r="F156" s="10" t="str">
        <f aca="false">IFERROR(INDEX('Model Pricing'!$O$2:$O$52,MATCH(B156,'Model Pricing'!$A$2:$A$52,0)),"")</f>
        <v/>
      </c>
      <c r="G156" s="10" t="n">
        <f aca="false">IFERROR(C156*D156,"")</f>
        <v>0</v>
      </c>
      <c r="H156" s="10" t="str">
        <f aca="false">IFERROR(C156*F156,"")</f>
        <v/>
      </c>
      <c r="I156" s="10" t="str">
        <f aca="false">IFERROR(G156-H156,"")</f>
        <v/>
      </c>
      <c r="J156" s="21"/>
    </row>
    <row r="157" customFormat="false" ht="15" hidden="false" customHeight="true" outlineLevel="0" collapsed="false">
      <c r="A157" s="20"/>
      <c r="B157" s="21"/>
      <c r="C157" s="21"/>
      <c r="D157" s="21"/>
      <c r="E157" s="10" t="str">
        <f aca="false">IFERROR(INDEX('Model Pricing'!$E$2:$E$52,MATCH(B157,'Model Pricing'!$A$2:$A$52,0)),"")</f>
        <v/>
      </c>
      <c r="F157" s="10" t="str">
        <f aca="false">IFERROR(INDEX('Model Pricing'!$O$2:$O$52,MATCH(B157,'Model Pricing'!$A$2:$A$52,0)),"")</f>
        <v/>
      </c>
      <c r="G157" s="10" t="n">
        <f aca="false">IFERROR(C157*D157,"")</f>
        <v>0</v>
      </c>
      <c r="H157" s="10" t="str">
        <f aca="false">IFERROR(C157*F157,"")</f>
        <v/>
      </c>
      <c r="I157" s="10" t="str">
        <f aca="false">IFERROR(G157-H157,"")</f>
        <v/>
      </c>
      <c r="J157" s="21"/>
    </row>
    <row r="158" customFormat="false" ht="15" hidden="false" customHeight="true" outlineLevel="0" collapsed="false">
      <c r="A158" s="20"/>
      <c r="B158" s="21"/>
      <c r="C158" s="21"/>
      <c r="D158" s="21"/>
      <c r="E158" s="10" t="str">
        <f aca="false">IFERROR(INDEX('Model Pricing'!$E$2:$E$52,MATCH(B158,'Model Pricing'!$A$2:$A$52,0)),"")</f>
        <v/>
      </c>
      <c r="F158" s="10" t="str">
        <f aca="false">IFERROR(INDEX('Model Pricing'!$O$2:$O$52,MATCH(B158,'Model Pricing'!$A$2:$A$52,0)),"")</f>
        <v/>
      </c>
      <c r="G158" s="10" t="n">
        <f aca="false">IFERROR(C158*D158,"")</f>
        <v>0</v>
      </c>
      <c r="H158" s="10" t="str">
        <f aca="false">IFERROR(C158*F158,"")</f>
        <v/>
      </c>
      <c r="I158" s="10" t="str">
        <f aca="false">IFERROR(G158-H158,"")</f>
        <v/>
      </c>
      <c r="J158" s="21"/>
    </row>
    <row r="159" customFormat="false" ht="15" hidden="false" customHeight="true" outlineLevel="0" collapsed="false">
      <c r="A159" s="20"/>
      <c r="B159" s="21"/>
      <c r="C159" s="21"/>
      <c r="D159" s="21"/>
      <c r="E159" s="10" t="str">
        <f aca="false">IFERROR(INDEX('Model Pricing'!$E$2:$E$52,MATCH(B159,'Model Pricing'!$A$2:$A$52,0)),"")</f>
        <v/>
      </c>
      <c r="F159" s="10" t="str">
        <f aca="false">IFERROR(INDEX('Model Pricing'!$O$2:$O$52,MATCH(B159,'Model Pricing'!$A$2:$A$52,0)),"")</f>
        <v/>
      </c>
      <c r="G159" s="10" t="n">
        <f aca="false">IFERROR(C159*D159,"")</f>
        <v>0</v>
      </c>
      <c r="H159" s="10" t="str">
        <f aca="false">IFERROR(C159*F159,"")</f>
        <v/>
      </c>
      <c r="I159" s="10" t="str">
        <f aca="false">IFERROR(G159-H159,"")</f>
        <v/>
      </c>
      <c r="J159" s="21"/>
    </row>
    <row r="160" customFormat="false" ht="15" hidden="false" customHeight="true" outlineLevel="0" collapsed="false">
      <c r="A160" s="20"/>
      <c r="B160" s="21"/>
      <c r="C160" s="21"/>
      <c r="D160" s="21"/>
      <c r="E160" s="10" t="str">
        <f aca="false">IFERROR(INDEX('Model Pricing'!$E$2:$E$52,MATCH(B160,'Model Pricing'!$A$2:$A$52,0)),"")</f>
        <v/>
      </c>
      <c r="F160" s="10" t="str">
        <f aca="false">IFERROR(INDEX('Model Pricing'!$O$2:$O$52,MATCH(B160,'Model Pricing'!$A$2:$A$52,0)),"")</f>
        <v/>
      </c>
      <c r="G160" s="10" t="n">
        <f aca="false">IFERROR(C160*D160,"")</f>
        <v>0</v>
      </c>
      <c r="H160" s="10" t="str">
        <f aca="false">IFERROR(C160*F160,"")</f>
        <v/>
      </c>
      <c r="I160" s="10" t="str">
        <f aca="false">IFERROR(G160-H160,"")</f>
        <v/>
      </c>
      <c r="J160" s="21"/>
    </row>
    <row r="161" customFormat="false" ht="15" hidden="false" customHeight="true" outlineLevel="0" collapsed="false">
      <c r="A161" s="20"/>
      <c r="B161" s="21"/>
      <c r="C161" s="21"/>
      <c r="D161" s="21"/>
      <c r="E161" s="10" t="str">
        <f aca="false">IFERROR(INDEX('Model Pricing'!$E$2:$E$52,MATCH(B161,'Model Pricing'!$A$2:$A$52,0)),"")</f>
        <v/>
      </c>
      <c r="F161" s="10" t="str">
        <f aca="false">IFERROR(INDEX('Model Pricing'!$O$2:$O$52,MATCH(B161,'Model Pricing'!$A$2:$A$52,0)),"")</f>
        <v/>
      </c>
      <c r="G161" s="10" t="n">
        <f aca="false">IFERROR(C161*D161,"")</f>
        <v>0</v>
      </c>
      <c r="H161" s="10" t="str">
        <f aca="false">IFERROR(C161*F161,"")</f>
        <v/>
      </c>
      <c r="I161" s="10" t="str">
        <f aca="false">IFERROR(G161-H161,"")</f>
        <v/>
      </c>
      <c r="J161" s="21"/>
    </row>
    <row r="162" customFormat="false" ht="15" hidden="false" customHeight="true" outlineLevel="0" collapsed="false">
      <c r="A162" s="20"/>
      <c r="B162" s="21"/>
      <c r="C162" s="21"/>
      <c r="D162" s="21"/>
      <c r="E162" s="10" t="str">
        <f aca="false">IFERROR(INDEX('Model Pricing'!$E$2:$E$52,MATCH(B162,'Model Pricing'!$A$2:$A$52,0)),"")</f>
        <v/>
      </c>
      <c r="F162" s="10" t="str">
        <f aca="false">IFERROR(INDEX('Model Pricing'!$O$2:$O$52,MATCH(B162,'Model Pricing'!$A$2:$A$52,0)),"")</f>
        <v/>
      </c>
      <c r="G162" s="10" t="n">
        <f aca="false">IFERROR(C162*D162,"")</f>
        <v>0</v>
      </c>
      <c r="H162" s="10" t="str">
        <f aca="false">IFERROR(C162*F162,"")</f>
        <v/>
      </c>
      <c r="I162" s="10" t="str">
        <f aca="false">IFERROR(G162-H162,"")</f>
        <v/>
      </c>
      <c r="J162" s="21"/>
    </row>
    <row r="163" customFormat="false" ht="15" hidden="false" customHeight="true" outlineLevel="0" collapsed="false">
      <c r="A163" s="20"/>
      <c r="B163" s="21"/>
      <c r="C163" s="21"/>
      <c r="D163" s="21"/>
      <c r="E163" s="10" t="str">
        <f aca="false">IFERROR(INDEX('Model Pricing'!$E$2:$E$52,MATCH(B163,'Model Pricing'!$A$2:$A$52,0)),"")</f>
        <v/>
      </c>
      <c r="F163" s="10" t="str">
        <f aca="false">IFERROR(INDEX('Model Pricing'!$O$2:$O$52,MATCH(B163,'Model Pricing'!$A$2:$A$52,0)),"")</f>
        <v/>
      </c>
      <c r="G163" s="10" t="n">
        <f aca="false">IFERROR(C163*D163,"")</f>
        <v>0</v>
      </c>
      <c r="H163" s="10" t="str">
        <f aca="false">IFERROR(C163*F163,"")</f>
        <v/>
      </c>
      <c r="I163" s="10" t="str">
        <f aca="false">IFERROR(G163-H163,"")</f>
        <v/>
      </c>
      <c r="J163" s="21"/>
    </row>
    <row r="164" customFormat="false" ht="15" hidden="false" customHeight="true" outlineLevel="0" collapsed="false">
      <c r="A164" s="20"/>
      <c r="B164" s="21"/>
      <c r="C164" s="21"/>
      <c r="D164" s="21"/>
      <c r="E164" s="10" t="str">
        <f aca="false">IFERROR(INDEX('Model Pricing'!$E$2:$E$52,MATCH(B164,'Model Pricing'!$A$2:$A$52,0)),"")</f>
        <v/>
      </c>
      <c r="F164" s="10" t="str">
        <f aca="false">IFERROR(INDEX('Model Pricing'!$O$2:$O$52,MATCH(B164,'Model Pricing'!$A$2:$A$52,0)),"")</f>
        <v/>
      </c>
      <c r="G164" s="10" t="n">
        <f aca="false">IFERROR(C164*D164,"")</f>
        <v>0</v>
      </c>
      <c r="H164" s="10" t="str">
        <f aca="false">IFERROR(C164*F164,"")</f>
        <v/>
      </c>
      <c r="I164" s="10" t="str">
        <f aca="false">IFERROR(G164-H164,"")</f>
        <v/>
      </c>
      <c r="J164" s="21"/>
    </row>
    <row r="165" customFormat="false" ht="15" hidden="false" customHeight="true" outlineLevel="0" collapsed="false">
      <c r="A165" s="20"/>
      <c r="B165" s="21"/>
      <c r="C165" s="21"/>
      <c r="D165" s="21"/>
      <c r="E165" s="10" t="str">
        <f aca="false">IFERROR(INDEX('Model Pricing'!$E$2:$E$52,MATCH(B165,'Model Pricing'!$A$2:$A$52,0)),"")</f>
        <v/>
      </c>
      <c r="F165" s="10" t="str">
        <f aca="false">IFERROR(INDEX('Model Pricing'!$O$2:$O$52,MATCH(B165,'Model Pricing'!$A$2:$A$52,0)),"")</f>
        <v/>
      </c>
      <c r="G165" s="10" t="n">
        <f aca="false">IFERROR(C165*D165,"")</f>
        <v>0</v>
      </c>
      <c r="H165" s="10" t="str">
        <f aca="false">IFERROR(C165*F165,"")</f>
        <v/>
      </c>
      <c r="I165" s="10" t="str">
        <f aca="false">IFERROR(G165-H165,"")</f>
        <v/>
      </c>
      <c r="J165" s="21"/>
    </row>
    <row r="166" customFormat="false" ht="15" hidden="false" customHeight="true" outlineLevel="0" collapsed="false">
      <c r="A166" s="20"/>
      <c r="B166" s="21"/>
      <c r="C166" s="21"/>
      <c r="D166" s="21"/>
      <c r="E166" s="10" t="str">
        <f aca="false">IFERROR(INDEX('Model Pricing'!$E$2:$E$52,MATCH(B166,'Model Pricing'!$A$2:$A$52,0)),"")</f>
        <v/>
      </c>
      <c r="F166" s="10" t="str">
        <f aca="false">IFERROR(INDEX('Model Pricing'!$O$2:$O$52,MATCH(B166,'Model Pricing'!$A$2:$A$52,0)),"")</f>
        <v/>
      </c>
      <c r="G166" s="10" t="n">
        <f aca="false">IFERROR(C166*D166,"")</f>
        <v>0</v>
      </c>
      <c r="H166" s="10" t="str">
        <f aca="false">IFERROR(C166*F166,"")</f>
        <v/>
      </c>
      <c r="I166" s="10" t="str">
        <f aca="false">IFERROR(G166-H166,"")</f>
        <v/>
      </c>
      <c r="J166" s="21"/>
    </row>
    <row r="167" customFormat="false" ht="15" hidden="false" customHeight="true" outlineLevel="0" collapsed="false">
      <c r="A167" s="20"/>
      <c r="B167" s="21"/>
      <c r="C167" s="21"/>
      <c r="D167" s="21"/>
      <c r="E167" s="10" t="str">
        <f aca="false">IFERROR(INDEX('Model Pricing'!$E$2:$E$52,MATCH(B167,'Model Pricing'!$A$2:$A$52,0)),"")</f>
        <v/>
      </c>
      <c r="F167" s="10" t="str">
        <f aca="false">IFERROR(INDEX('Model Pricing'!$O$2:$O$52,MATCH(B167,'Model Pricing'!$A$2:$A$52,0)),"")</f>
        <v/>
      </c>
      <c r="G167" s="10" t="n">
        <f aca="false">IFERROR(C167*D167,"")</f>
        <v>0</v>
      </c>
      <c r="H167" s="10" t="str">
        <f aca="false">IFERROR(C167*F167,"")</f>
        <v/>
      </c>
      <c r="I167" s="10" t="str">
        <f aca="false">IFERROR(G167-H167,"")</f>
        <v/>
      </c>
      <c r="J167" s="21"/>
    </row>
    <row r="168" customFormat="false" ht="15" hidden="false" customHeight="true" outlineLevel="0" collapsed="false">
      <c r="A168" s="20"/>
      <c r="B168" s="21"/>
      <c r="C168" s="21"/>
      <c r="D168" s="21"/>
      <c r="E168" s="10" t="str">
        <f aca="false">IFERROR(INDEX('Model Pricing'!$E$2:$E$52,MATCH(B168,'Model Pricing'!$A$2:$A$52,0)),"")</f>
        <v/>
      </c>
      <c r="F168" s="10" t="str">
        <f aca="false">IFERROR(INDEX('Model Pricing'!$O$2:$O$52,MATCH(B168,'Model Pricing'!$A$2:$A$52,0)),"")</f>
        <v/>
      </c>
      <c r="G168" s="10" t="n">
        <f aca="false">IFERROR(C168*D168,"")</f>
        <v>0</v>
      </c>
      <c r="H168" s="10" t="str">
        <f aca="false">IFERROR(C168*F168,"")</f>
        <v/>
      </c>
      <c r="I168" s="10" t="str">
        <f aca="false">IFERROR(G168-H168,"")</f>
        <v/>
      </c>
      <c r="J168" s="21"/>
    </row>
    <row r="169" customFormat="false" ht="15" hidden="false" customHeight="true" outlineLevel="0" collapsed="false">
      <c r="A169" s="20"/>
      <c r="B169" s="21"/>
      <c r="C169" s="21"/>
      <c r="D169" s="21"/>
      <c r="E169" s="10" t="str">
        <f aca="false">IFERROR(INDEX('Model Pricing'!$E$2:$E$52,MATCH(B169,'Model Pricing'!$A$2:$A$52,0)),"")</f>
        <v/>
      </c>
      <c r="F169" s="10" t="str">
        <f aca="false">IFERROR(INDEX('Model Pricing'!$O$2:$O$52,MATCH(B169,'Model Pricing'!$A$2:$A$52,0)),"")</f>
        <v/>
      </c>
      <c r="G169" s="10" t="n">
        <f aca="false">IFERROR(C169*D169,"")</f>
        <v>0</v>
      </c>
      <c r="H169" s="10" t="str">
        <f aca="false">IFERROR(C169*F169,"")</f>
        <v/>
      </c>
      <c r="I169" s="10" t="str">
        <f aca="false">IFERROR(G169-H169,"")</f>
        <v/>
      </c>
      <c r="J169" s="21"/>
    </row>
    <row r="170" customFormat="false" ht="15" hidden="false" customHeight="true" outlineLevel="0" collapsed="false">
      <c r="A170" s="20"/>
      <c r="B170" s="21"/>
      <c r="C170" s="21"/>
      <c r="D170" s="21"/>
      <c r="E170" s="10" t="str">
        <f aca="false">IFERROR(INDEX('Model Pricing'!$E$2:$E$52,MATCH(B170,'Model Pricing'!$A$2:$A$52,0)),"")</f>
        <v/>
      </c>
      <c r="F170" s="10" t="str">
        <f aca="false">IFERROR(INDEX('Model Pricing'!$O$2:$O$52,MATCH(B170,'Model Pricing'!$A$2:$A$52,0)),"")</f>
        <v/>
      </c>
      <c r="G170" s="10" t="n">
        <f aca="false">IFERROR(C170*D170,"")</f>
        <v>0</v>
      </c>
      <c r="H170" s="10" t="str">
        <f aca="false">IFERROR(C170*F170,"")</f>
        <v/>
      </c>
      <c r="I170" s="10" t="str">
        <f aca="false">IFERROR(G170-H170,"")</f>
        <v/>
      </c>
      <c r="J170" s="21"/>
    </row>
    <row r="171" customFormat="false" ht="15" hidden="false" customHeight="true" outlineLevel="0" collapsed="false">
      <c r="A171" s="20"/>
      <c r="B171" s="21"/>
      <c r="C171" s="21"/>
      <c r="D171" s="21"/>
      <c r="E171" s="10" t="str">
        <f aca="false">IFERROR(INDEX('Model Pricing'!$E$2:$E$52,MATCH(B171,'Model Pricing'!$A$2:$A$52,0)),"")</f>
        <v/>
      </c>
      <c r="F171" s="10" t="str">
        <f aca="false">IFERROR(INDEX('Model Pricing'!$O$2:$O$52,MATCH(B171,'Model Pricing'!$A$2:$A$52,0)),"")</f>
        <v/>
      </c>
      <c r="G171" s="10" t="n">
        <f aca="false">IFERROR(C171*D171,"")</f>
        <v>0</v>
      </c>
      <c r="H171" s="10" t="str">
        <f aca="false">IFERROR(C171*F171,"")</f>
        <v/>
      </c>
      <c r="I171" s="10" t="str">
        <f aca="false">IFERROR(G171-H171,"")</f>
        <v/>
      </c>
      <c r="J171" s="21"/>
    </row>
    <row r="172" customFormat="false" ht="15" hidden="false" customHeight="true" outlineLevel="0" collapsed="false">
      <c r="A172" s="20"/>
      <c r="B172" s="21"/>
      <c r="C172" s="21"/>
      <c r="D172" s="21"/>
      <c r="E172" s="10" t="str">
        <f aca="false">IFERROR(INDEX('Model Pricing'!$E$2:$E$52,MATCH(B172,'Model Pricing'!$A$2:$A$52,0)),"")</f>
        <v/>
      </c>
      <c r="F172" s="10" t="str">
        <f aca="false">IFERROR(INDEX('Model Pricing'!$O$2:$O$52,MATCH(B172,'Model Pricing'!$A$2:$A$52,0)),"")</f>
        <v/>
      </c>
      <c r="G172" s="10" t="n">
        <f aca="false">IFERROR(C172*D172,"")</f>
        <v>0</v>
      </c>
      <c r="H172" s="10" t="str">
        <f aca="false">IFERROR(C172*F172,"")</f>
        <v/>
      </c>
      <c r="I172" s="10" t="str">
        <f aca="false">IFERROR(G172-H172,"")</f>
        <v/>
      </c>
      <c r="J172" s="21"/>
    </row>
    <row r="173" customFormat="false" ht="15" hidden="false" customHeight="true" outlineLevel="0" collapsed="false">
      <c r="A173" s="20"/>
      <c r="B173" s="21"/>
      <c r="C173" s="21"/>
      <c r="D173" s="21"/>
      <c r="E173" s="10" t="str">
        <f aca="false">IFERROR(INDEX('Model Pricing'!$E$2:$E$52,MATCH(B173,'Model Pricing'!$A$2:$A$52,0)),"")</f>
        <v/>
      </c>
      <c r="F173" s="10" t="str">
        <f aca="false">IFERROR(INDEX('Model Pricing'!$O$2:$O$52,MATCH(B173,'Model Pricing'!$A$2:$A$52,0)),"")</f>
        <v/>
      </c>
      <c r="G173" s="10" t="n">
        <f aca="false">IFERROR(C173*D173,"")</f>
        <v>0</v>
      </c>
      <c r="H173" s="10" t="str">
        <f aca="false">IFERROR(C173*F173,"")</f>
        <v/>
      </c>
      <c r="I173" s="10" t="str">
        <f aca="false">IFERROR(G173-H173,"")</f>
        <v/>
      </c>
      <c r="J173" s="21"/>
    </row>
    <row r="174" customFormat="false" ht="15" hidden="false" customHeight="true" outlineLevel="0" collapsed="false">
      <c r="A174" s="20"/>
      <c r="B174" s="21"/>
      <c r="C174" s="21"/>
      <c r="D174" s="21"/>
      <c r="E174" s="10" t="str">
        <f aca="false">IFERROR(INDEX('Model Pricing'!$E$2:$E$52,MATCH(B174,'Model Pricing'!$A$2:$A$52,0)),"")</f>
        <v/>
      </c>
      <c r="F174" s="10" t="str">
        <f aca="false">IFERROR(INDEX('Model Pricing'!$O$2:$O$52,MATCH(B174,'Model Pricing'!$A$2:$A$52,0)),"")</f>
        <v/>
      </c>
      <c r="G174" s="10" t="n">
        <f aca="false">IFERROR(C174*D174,"")</f>
        <v>0</v>
      </c>
      <c r="H174" s="10" t="str">
        <f aca="false">IFERROR(C174*F174,"")</f>
        <v/>
      </c>
      <c r="I174" s="10" t="str">
        <f aca="false">IFERROR(G174-H174,"")</f>
        <v/>
      </c>
      <c r="J174" s="21"/>
    </row>
    <row r="175" customFormat="false" ht="15" hidden="false" customHeight="true" outlineLevel="0" collapsed="false">
      <c r="A175" s="20"/>
      <c r="B175" s="21"/>
      <c r="C175" s="21"/>
      <c r="D175" s="21"/>
      <c r="E175" s="10" t="str">
        <f aca="false">IFERROR(INDEX('Model Pricing'!$E$2:$E$52,MATCH(B175,'Model Pricing'!$A$2:$A$52,0)),"")</f>
        <v/>
      </c>
      <c r="F175" s="10" t="str">
        <f aca="false">IFERROR(INDEX('Model Pricing'!$O$2:$O$52,MATCH(B175,'Model Pricing'!$A$2:$A$52,0)),"")</f>
        <v/>
      </c>
      <c r="G175" s="10" t="n">
        <f aca="false">IFERROR(C175*D175,"")</f>
        <v>0</v>
      </c>
      <c r="H175" s="10" t="str">
        <f aca="false">IFERROR(C175*F175,"")</f>
        <v/>
      </c>
      <c r="I175" s="10" t="str">
        <f aca="false">IFERROR(G175-H175,"")</f>
        <v/>
      </c>
      <c r="J175" s="21"/>
    </row>
    <row r="176" customFormat="false" ht="15" hidden="false" customHeight="true" outlineLevel="0" collapsed="false">
      <c r="A176" s="20"/>
      <c r="B176" s="21"/>
      <c r="C176" s="21"/>
      <c r="D176" s="21"/>
      <c r="E176" s="10" t="str">
        <f aca="false">IFERROR(INDEX('Model Pricing'!$E$2:$E$52,MATCH(B176,'Model Pricing'!$A$2:$A$52,0)),"")</f>
        <v/>
      </c>
      <c r="F176" s="10" t="str">
        <f aca="false">IFERROR(INDEX('Model Pricing'!$O$2:$O$52,MATCH(B176,'Model Pricing'!$A$2:$A$52,0)),"")</f>
        <v/>
      </c>
      <c r="G176" s="10" t="n">
        <f aca="false">IFERROR(C176*D176,"")</f>
        <v>0</v>
      </c>
      <c r="H176" s="10" t="str">
        <f aca="false">IFERROR(C176*F176,"")</f>
        <v/>
      </c>
      <c r="I176" s="10" t="str">
        <f aca="false">IFERROR(G176-H176,"")</f>
        <v/>
      </c>
      <c r="J176" s="21"/>
    </row>
    <row r="177" customFormat="false" ht="15" hidden="false" customHeight="true" outlineLevel="0" collapsed="false">
      <c r="A177" s="20"/>
      <c r="B177" s="21"/>
      <c r="C177" s="21"/>
      <c r="D177" s="21"/>
      <c r="E177" s="10" t="str">
        <f aca="false">IFERROR(INDEX('Model Pricing'!$E$2:$E$52,MATCH(B177,'Model Pricing'!$A$2:$A$52,0)),"")</f>
        <v/>
      </c>
      <c r="F177" s="10" t="str">
        <f aca="false">IFERROR(INDEX('Model Pricing'!$O$2:$O$52,MATCH(B177,'Model Pricing'!$A$2:$A$52,0)),"")</f>
        <v/>
      </c>
      <c r="G177" s="10" t="n">
        <f aca="false">IFERROR(C177*D177,"")</f>
        <v>0</v>
      </c>
      <c r="H177" s="10" t="str">
        <f aca="false">IFERROR(C177*F177,"")</f>
        <v/>
      </c>
      <c r="I177" s="10" t="str">
        <f aca="false">IFERROR(G177-H177,"")</f>
        <v/>
      </c>
      <c r="J177" s="21"/>
    </row>
    <row r="178" customFormat="false" ht="15" hidden="false" customHeight="true" outlineLevel="0" collapsed="false">
      <c r="A178" s="20"/>
      <c r="B178" s="21"/>
      <c r="C178" s="21"/>
      <c r="D178" s="21"/>
      <c r="E178" s="10" t="str">
        <f aca="false">IFERROR(INDEX('Model Pricing'!$E$2:$E$52,MATCH(B178,'Model Pricing'!$A$2:$A$52,0)),"")</f>
        <v/>
      </c>
      <c r="F178" s="10" t="str">
        <f aca="false">IFERROR(INDEX('Model Pricing'!$O$2:$O$52,MATCH(B178,'Model Pricing'!$A$2:$A$52,0)),"")</f>
        <v/>
      </c>
      <c r="G178" s="10" t="n">
        <f aca="false">IFERROR(C178*D178,"")</f>
        <v>0</v>
      </c>
      <c r="H178" s="10" t="str">
        <f aca="false">IFERROR(C178*F178,"")</f>
        <v/>
      </c>
      <c r="I178" s="10" t="str">
        <f aca="false">IFERROR(G178-H178,"")</f>
        <v/>
      </c>
      <c r="J178" s="21"/>
    </row>
    <row r="179" customFormat="false" ht="15" hidden="false" customHeight="true" outlineLevel="0" collapsed="false">
      <c r="A179" s="20"/>
      <c r="B179" s="21"/>
      <c r="C179" s="21"/>
      <c r="D179" s="21"/>
      <c r="E179" s="10" t="str">
        <f aca="false">IFERROR(INDEX('Model Pricing'!$E$2:$E$52,MATCH(B179,'Model Pricing'!$A$2:$A$52,0)),"")</f>
        <v/>
      </c>
      <c r="F179" s="10" t="str">
        <f aca="false">IFERROR(INDEX('Model Pricing'!$O$2:$O$52,MATCH(B179,'Model Pricing'!$A$2:$A$52,0)),"")</f>
        <v/>
      </c>
      <c r="G179" s="10" t="n">
        <f aca="false">IFERROR(C179*D179,"")</f>
        <v>0</v>
      </c>
      <c r="H179" s="10" t="str">
        <f aca="false">IFERROR(C179*F179,"")</f>
        <v/>
      </c>
      <c r="I179" s="10" t="str">
        <f aca="false">IFERROR(G179-H179,"")</f>
        <v/>
      </c>
      <c r="J179" s="21"/>
    </row>
    <row r="180" customFormat="false" ht="15" hidden="false" customHeight="true" outlineLevel="0" collapsed="false">
      <c r="A180" s="20"/>
      <c r="B180" s="21"/>
      <c r="C180" s="21"/>
      <c r="D180" s="21"/>
      <c r="E180" s="10" t="str">
        <f aca="false">IFERROR(INDEX('Model Pricing'!$E$2:$E$52,MATCH(B180,'Model Pricing'!$A$2:$A$52,0)),"")</f>
        <v/>
      </c>
      <c r="F180" s="10" t="str">
        <f aca="false">IFERROR(INDEX('Model Pricing'!$O$2:$O$52,MATCH(B180,'Model Pricing'!$A$2:$A$52,0)),"")</f>
        <v/>
      </c>
      <c r="G180" s="10" t="n">
        <f aca="false">IFERROR(C180*D180,"")</f>
        <v>0</v>
      </c>
      <c r="H180" s="10" t="str">
        <f aca="false">IFERROR(C180*F180,"")</f>
        <v/>
      </c>
      <c r="I180" s="10" t="str">
        <f aca="false">IFERROR(G180-H180,"")</f>
        <v/>
      </c>
      <c r="J180" s="21"/>
    </row>
    <row r="181" customFormat="false" ht="15" hidden="false" customHeight="true" outlineLevel="0" collapsed="false">
      <c r="A181" s="20"/>
      <c r="B181" s="21"/>
      <c r="C181" s="21"/>
      <c r="D181" s="21"/>
      <c r="E181" s="10" t="str">
        <f aca="false">IFERROR(INDEX('Model Pricing'!$E$2:$E$52,MATCH(B181,'Model Pricing'!$A$2:$A$52,0)),"")</f>
        <v/>
      </c>
      <c r="F181" s="10" t="str">
        <f aca="false">IFERROR(INDEX('Model Pricing'!$O$2:$O$52,MATCH(B181,'Model Pricing'!$A$2:$A$52,0)),"")</f>
        <v/>
      </c>
      <c r="G181" s="10" t="n">
        <f aca="false">IFERROR(C181*D181,"")</f>
        <v>0</v>
      </c>
      <c r="H181" s="10" t="str">
        <f aca="false">IFERROR(C181*F181,"")</f>
        <v/>
      </c>
      <c r="I181" s="10" t="str">
        <f aca="false">IFERROR(G181-H181,"")</f>
        <v/>
      </c>
      <c r="J181" s="21"/>
    </row>
    <row r="182" customFormat="false" ht="15" hidden="false" customHeight="true" outlineLevel="0" collapsed="false">
      <c r="A182" s="20"/>
      <c r="B182" s="21"/>
      <c r="C182" s="21"/>
      <c r="D182" s="21"/>
      <c r="E182" s="10" t="str">
        <f aca="false">IFERROR(INDEX('Model Pricing'!$E$2:$E$52,MATCH(B182,'Model Pricing'!$A$2:$A$52,0)),"")</f>
        <v/>
      </c>
      <c r="F182" s="10" t="str">
        <f aca="false">IFERROR(INDEX('Model Pricing'!$O$2:$O$52,MATCH(B182,'Model Pricing'!$A$2:$A$52,0)),"")</f>
        <v/>
      </c>
      <c r="G182" s="10" t="n">
        <f aca="false">IFERROR(C182*D182,"")</f>
        <v>0</v>
      </c>
      <c r="H182" s="10" t="str">
        <f aca="false">IFERROR(C182*F182,"")</f>
        <v/>
      </c>
      <c r="I182" s="10" t="str">
        <f aca="false">IFERROR(G182-H182,"")</f>
        <v/>
      </c>
      <c r="J182" s="21"/>
    </row>
    <row r="183" customFormat="false" ht="15" hidden="false" customHeight="true" outlineLevel="0" collapsed="false">
      <c r="A183" s="20"/>
      <c r="B183" s="21"/>
      <c r="C183" s="21"/>
      <c r="D183" s="21"/>
      <c r="E183" s="10" t="str">
        <f aca="false">IFERROR(INDEX('Model Pricing'!$E$2:$E$52,MATCH(B183,'Model Pricing'!$A$2:$A$52,0)),"")</f>
        <v/>
      </c>
      <c r="F183" s="10" t="str">
        <f aca="false">IFERROR(INDEX('Model Pricing'!$O$2:$O$52,MATCH(B183,'Model Pricing'!$A$2:$A$52,0)),"")</f>
        <v/>
      </c>
      <c r="G183" s="10" t="n">
        <f aca="false">IFERROR(C183*D183,"")</f>
        <v>0</v>
      </c>
      <c r="H183" s="10" t="str">
        <f aca="false">IFERROR(C183*F183,"")</f>
        <v/>
      </c>
      <c r="I183" s="10" t="str">
        <f aca="false">IFERROR(G183-H183,"")</f>
        <v/>
      </c>
      <c r="J183" s="21"/>
    </row>
    <row r="184" customFormat="false" ht="15" hidden="false" customHeight="true" outlineLevel="0" collapsed="false">
      <c r="A184" s="20"/>
      <c r="B184" s="21"/>
      <c r="C184" s="21"/>
      <c r="D184" s="21"/>
      <c r="E184" s="10" t="str">
        <f aca="false">IFERROR(INDEX('Model Pricing'!$E$2:$E$52,MATCH(B184,'Model Pricing'!$A$2:$A$52,0)),"")</f>
        <v/>
      </c>
      <c r="F184" s="10" t="str">
        <f aca="false">IFERROR(INDEX('Model Pricing'!$O$2:$O$52,MATCH(B184,'Model Pricing'!$A$2:$A$52,0)),"")</f>
        <v/>
      </c>
      <c r="G184" s="10" t="n">
        <f aca="false">IFERROR(C184*D184,"")</f>
        <v>0</v>
      </c>
      <c r="H184" s="10" t="str">
        <f aca="false">IFERROR(C184*F184,"")</f>
        <v/>
      </c>
      <c r="I184" s="10" t="str">
        <f aca="false">IFERROR(G184-H184,"")</f>
        <v/>
      </c>
      <c r="J184" s="21"/>
    </row>
    <row r="185" customFormat="false" ht="15" hidden="false" customHeight="true" outlineLevel="0" collapsed="false">
      <c r="A185" s="20"/>
      <c r="B185" s="21"/>
      <c r="C185" s="21"/>
      <c r="D185" s="21"/>
      <c r="E185" s="10" t="str">
        <f aca="false">IFERROR(INDEX('Model Pricing'!$E$2:$E$52,MATCH(B185,'Model Pricing'!$A$2:$A$52,0)),"")</f>
        <v/>
      </c>
      <c r="F185" s="10" t="str">
        <f aca="false">IFERROR(INDEX('Model Pricing'!$O$2:$O$52,MATCH(B185,'Model Pricing'!$A$2:$A$52,0)),"")</f>
        <v/>
      </c>
      <c r="G185" s="10" t="n">
        <f aca="false">IFERROR(C185*D185,"")</f>
        <v>0</v>
      </c>
      <c r="H185" s="10" t="str">
        <f aca="false">IFERROR(C185*F185,"")</f>
        <v/>
      </c>
      <c r="I185" s="10" t="str">
        <f aca="false">IFERROR(G185-H185,"")</f>
        <v/>
      </c>
      <c r="J185" s="21"/>
    </row>
    <row r="186" customFormat="false" ht="15" hidden="false" customHeight="true" outlineLevel="0" collapsed="false">
      <c r="A186" s="20"/>
      <c r="B186" s="21"/>
      <c r="C186" s="21"/>
      <c r="D186" s="21"/>
      <c r="E186" s="10" t="str">
        <f aca="false">IFERROR(INDEX('Model Pricing'!$E$2:$E$52,MATCH(B186,'Model Pricing'!$A$2:$A$52,0)),"")</f>
        <v/>
      </c>
      <c r="F186" s="10" t="str">
        <f aca="false">IFERROR(INDEX('Model Pricing'!$O$2:$O$52,MATCH(B186,'Model Pricing'!$A$2:$A$52,0)),"")</f>
        <v/>
      </c>
      <c r="G186" s="10" t="n">
        <f aca="false">IFERROR(C186*D186,"")</f>
        <v>0</v>
      </c>
      <c r="H186" s="10" t="str">
        <f aca="false">IFERROR(C186*F186,"")</f>
        <v/>
      </c>
      <c r="I186" s="10" t="str">
        <f aca="false">IFERROR(G186-H186,"")</f>
        <v/>
      </c>
      <c r="J186" s="21"/>
    </row>
    <row r="187" customFormat="false" ht="15" hidden="false" customHeight="true" outlineLevel="0" collapsed="false">
      <c r="A187" s="20"/>
      <c r="B187" s="21"/>
      <c r="C187" s="21"/>
      <c r="D187" s="21"/>
      <c r="E187" s="10" t="str">
        <f aca="false">IFERROR(INDEX('Model Pricing'!$E$2:$E$52,MATCH(B187,'Model Pricing'!$A$2:$A$52,0)),"")</f>
        <v/>
      </c>
      <c r="F187" s="10" t="str">
        <f aca="false">IFERROR(INDEX('Model Pricing'!$O$2:$O$52,MATCH(B187,'Model Pricing'!$A$2:$A$52,0)),"")</f>
        <v/>
      </c>
      <c r="G187" s="10" t="n">
        <f aca="false">IFERROR(C187*D187,"")</f>
        <v>0</v>
      </c>
      <c r="H187" s="10" t="str">
        <f aca="false">IFERROR(C187*F187,"")</f>
        <v/>
      </c>
      <c r="I187" s="10" t="str">
        <f aca="false">IFERROR(G187-H187,"")</f>
        <v/>
      </c>
      <c r="J187" s="21"/>
    </row>
    <row r="188" customFormat="false" ht="15" hidden="false" customHeight="true" outlineLevel="0" collapsed="false">
      <c r="A188" s="20"/>
      <c r="B188" s="21"/>
      <c r="C188" s="21"/>
      <c r="D188" s="21"/>
      <c r="E188" s="10" t="str">
        <f aca="false">IFERROR(INDEX('Model Pricing'!$E$2:$E$52,MATCH(B188,'Model Pricing'!$A$2:$A$52,0)),"")</f>
        <v/>
      </c>
      <c r="F188" s="10" t="str">
        <f aca="false">IFERROR(INDEX('Model Pricing'!$O$2:$O$52,MATCH(B188,'Model Pricing'!$A$2:$A$52,0)),"")</f>
        <v/>
      </c>
      <c r="G188" s="10" t="n">
        <f aca="false">IFERROR(C188*D188,"")</f>
        <v>0</v>
      </c>
      <c r="H188" s="10" t="str">
        <f aca="false">IFERROR(C188*F188,"")</f>
        <v/>
      </c>
      <c r="I188" s="10" t="str">
        <f aca="false">IFERROR(G188-H188,"")</f>
        <v/>
      </c>
      <c r="J188" s="21"/>
    </row>
    <row r="189" customFormat="false" ht="15" hidden="false" customHeight="true" outlineLevel="0" collapsed="false">
      <c r="A189" s="20"/>
      <c r="B189" s="21"/>
      <c r="C189" s="21"/>
      <c r="D189" s="21"/>
      <c r="E189" s="10" t="str">
        <f aca="false">IFERROR(INDEX('Model Pricing'!$E$2:$E$52,MATCH(B189,'Model Pricing'!$A$2:$A$52,0)),"")</f>
        <v/>
      </c>
      <c r="F189" s="10" t="str">
        <f aca="false">IFERROR(INDEX('Model Pricing'!$O$2:$O$52,MATCH(B189,'Model Pricing'!$A$2:$A$52,0)),"")</f>
        <v/>
      </c>
      <c r="G189" s="10" t="n">
        <f aca="false">IFERROR(C189*D189,"")</f>
        <v>0</v>
      </c>
      <c r="H189" s="10" t="str">
        <f aca="false">IFERROR(C189*F189,"")</f>
        <v/>
      </c>
      <c r="I189" s="10" t="str">
        <f aca="false">IFERROR(G189-H189,"")</f>
        <v/>
      </c>
      <c r="J189" s="21"/>
    </row>
    <row r="190" customFormat="false" ht="15" hidden="false" customHeight="true" outlineLevel="0" collapsed="false">
      <c r="A190" s="20"/>
      <c r="B190" s="21"/>
      <c r="C190" s="21"/>
      <c r="D190" s="21"/>
      <c r="E190" s="10" t="str">
        <f aca="false">IFERROR(INDEX('Model Pricing'!$E$2:$E$52,MATCH(B190,'Model Pricing'!$A$2:$A$52,0)),"")</f>
        <v/>
      </c>
      <c r="F190" s="10" t="str">
        <f aca="false">IFERROR(INDEX('Model Pricing'!$O$2:$O$52,MATCH(B190,'Model Pricing'!$A$2:$A$52,0)),"")</f>
        <v/>
      </c>
      <c r="G190" s="10" t="n">
        <f aca="false">IFERROR(C190*D190,"")</f>
        <v>0</v>
      </c>
      <c r="H190" s="10" t="str">
        <f aca="false">IFERROR(C190*F190,"")</f>
        <v/>
      </c>
      <c r="I190" s="10" t="str">
        <f aca="false">IFERROR(G190-H190,"")</f>
        <v/>
      </c>
      <c r="J190" s="21"/>
    </row>
    <row r="191" customFormat="false" ht="15" hidden="false" customHeight="true" outlineLevel="0" collapsed="false">
      <c r="A191" s="20"/>
      <c r="B191" s="21"/>
      <c r="C191" s="21"/>
      <c r="D191" s="21"/>
      <c r="E191" s="10" t="str">
        <f aca="false">IFERROR(INDEX('Model Pricing'!$E$2:$E$52,MATCH(B191,'Model Pricing'!$A$2:$A$52,0)),"")</f>
        <v/>
      </c>
      <c r="F191" s="10" t="str">
        <f aca="false">IFERROR(INDEX('Model Pricing'!$O$2:$O$52,MATCH(B191,'Model Pricing'!$A$2:$A$52,0)),"")</f>
        <v/>
      </c>
      <c r="G191" s="10" t="n">
        <f aca="false">IFERROR(C191*D191,"")</f>
        <v>0</v>
      </c>
      <c r="H191" s="10" t="str">
        <f aca="false">IFERROR(C191*F191,"")</f>
        <v/>
      </c>
      <c r="I191" s="10" t="str">
        <f aca="false">IFERROR(G191-H191,"")</f>
        <v/>
      </c>
      <c r="J191" s="21"/>
    </row>
    <row r="192" customFormat="false" ht="15" hidden="false" customHeight="true" outlineLevel="0" collapsed="false">
      <c r="A192" s="20"/>
      <c r="B192" s="21"/>
      <c r="C192" s="21"/>
      <c r="D192" s="21"/>
      <c r="E192" s="10" t="str">
        <f aca="false">IFERROR(INDEX('Model Pricing'!$E$2:$E$52,MATCH(B192,'Model Pricing'!$A$2:$A$52,0)),"")</f>
        <v/>
      </c>
      <c r="F192" s="10" t="str">
        <f aca="false">IFERROR(INDEX('Model Pricing'!$O$2:$O$52,MATCH(B192,'Model Pricing'!$A$2:$A$52,0)),"")</f>
        <v/>
      </c>
      <c r="G192" s="10" t="n">
        <f aca="false">IFERROR(C192*D192,"")</f>
        <v>0</v>
      </c>
      <c r="H192" s="10" t="str">
        <f aca="false">IFERROR(C192*F192,"")</f>
        <v/>
      </c>
      <c r="I192" s="10" t="str">
        <f aca="false">IFERROR(G192-H192,"")</f>
        <v/>
      </c>
      <c r="J192" s="21"/>
    </row>
    <row r="193" customFormat="false" ht="15" hidden="false" customHeight="true" outlineLevel="0" collapsed="false">
      <c r="A193" s="20"/>
      <c r="B193" s="21"/>
      <c r="C193" s="21"/>
      <c r="D193" s="21"/>
      <c r="E193" s="10" t="str">
        <f aca="false">IFERROR(INDEX('Model Pricing'!$E$2:$E$52,MATCH(B193,'Model Pricing'!$A$2:$A$52,0)),"")</f>
        <v/>
      </c>
      <c r="F193" s="10" t="str">
        <f aca="false">IFERROR(INDEX('Model Pricing'!$O$2:$O$52,MATCH(B193,'Model Pricing'!$A$2:$A$52,0)),"")</f>
        <v/>
      </c>
      <c r="G193" s="10" t="n">
        <f aca="false">IFERROR(C193*D193,"")</f>
        <v>0</v>
      </c>
      <c r="H193" s="10" t="str">
        <f aca="false">IFERROR(C193*F193,"")</f>
        <v/>
      </c>
      <c r="I193" s="10" t="str">
        <f aca="false">IFERROR(G193-H193,"")</f>
        <v/>
      </c>
      <c r="J193" s="21"/>
    </row>
    <row r="194" customFormat="false" ht="15" hidden="false" customHeight="true" outlineLevel="0" collapsed="false">
      <c r="A194" s="20"/>
      <c r="B194" s="21"/>
      <c r="C194" s="21"/>
      <c r="D194" s="21"/>
      <c r="E194" s="10" t="str">
        <f aca="false">IFERROR(INDEX('Model Pricing'!$E$2:$E$52,MATCH(B194,'Model Pricing'!$A$2:$A$52,0)),"")</f>
        <v/>
      </c>
      <c r="F194" s="10" t="str">
        <f aca="false">IFERROR(INDEX('Model Pricing'!$O$2:$O$52,MATCH(B194,'Model Pricing'!$A$2:$A$52,0)),"")</f>
        <v/>
      </c>
      <c r="G194" s="10" t="n">
        <f aca="false">IFERROR(C194*D194,"")</f>
        <v>0</v>
      </c>
      <c r="H194" s="10" t="str">
        <f aca="false">IFERROR(C194*F194,"")</f>
        <v/>
      </c>
      <c r="I194" s="10" t="str">
        <f aca="false">IFERROR(G194-H194,"")</f>
        <v/>
      </c>
      <c r="J194" s="21"/>
    </row>
    <row r="195" customFormat="false" ht="15" hidden="false" customHeight="true" outlineLevel="0" collapsed="false">
      <c r="A195" s="20"/>
      <c r="B195" s="21"/>
      <c r="C195" s="21"/>
      <c r="D195" s="21"/>
      <c r="E195" s="10" t="str">
        <f aca="false">IFERROR(INDEX('Model Pricing'!$E$2:$E$52,MATCH(B195,'Model Pricing'!$A$2:$A$52,0)),"")</f>
        <v/>
      </c>
      <c r="F195" s="10" t="str">
        <f aca="false">IFERROR(INDEX('Model Pricing'!$O$2:$O$52,MATCH(B195,'Model Pricing'!$A$2:$A$52,0)),"")</f>
        <v/>
      </c>
      <c r="G195" s="10" t="n">
        <f aca="false">IFERROR(C195*D195,"")</f>
        <v>0</v>
      </c>
      <c r="H195" s="10" t="str">
        <f aca="false">IFERROR(C195*F195,"")</f>
        <v/>
      </c>
      <c r="I195" s="10" t="str">
        <f aca="false">IFERROR(G195-H195,"")</f>
        <v/>
      </c>
      <c r="J195" s="21"/>
    </row>
    <row r="196" customFormat="false" ht="15" hidden="false" customHeight="true" outlineLevel="0" collapsed="false">
      <c r="A196" s="20"/>
      <c r="B196" s="21"/>
      <c r="C196" s="21"/>
      <c r="D196" s="21"/>
      <c r="E196" s="10" t="str">
        <f aca="false">IFERROR(INDEX('Model Pricing'!$E$2:$E$52,MATCH(B196,'Model Pricing'!$A$2:$A$52,0)),"")</f>
        <v/>
      </c>
      <c r="F196" s="10" t="str">
        <f aca="false">IFERROR(INDEX('Model Pricing'!$O$2:$O$52,MATCH(B196,'Model Pricing'!$A$2:$A$52,0)),"")</f>
        <v/>
      </c>
      <c r="G196" s="10" t="n">
        <f aca="false">IFERROR(C196*D196,"")</f>
        <v>0</v>
      </c>
      <c r="H196" s="10" t="str">
        <f aca="false">IFERROR(C196*F196,"")</f>
        <v/>
      </c>
      <c r="I196" s="10" t="str">
        <f aca="false">IFERROR(G196-H196,"")</f>
        <v/>
      </c>
      <c r="J196" s="21"/>
    </row>
    <row r="197" customFormat="false" ht="15" hidden="false" customHeight="true" outlineLevel="0" collapsed="false">
      <c r="A197" s="20"/>
      <c r="B197" s="21"/>
      <c r="C197" s="21"/>
      <c r="D197" s="21"/>
      <c r="E197" s="10" t="str">
        <f aca="false">IFERROR(INDEX('Model Pricing'!$E$2:$E$52,MATCH(B197,'Model Pricing'!$A$2:$A$52,0)),"")</f>
        <v/>
      </c>
      <c r="F197" s="10" t="str">
        <f aca="false">IFERROR(INDEX('Model Pricing'!$O$2:$O$52,MATCH(B197,'Model Pricing'!$A$2:$A$52,0)),"")</f>
        <v/>
      </c>
      <c r="G197" s="10" t="n">
        <f aca="false">IFERROR(C197*D197,"")</f>
        <v>0</v>
      </c>
      <c r="H197" s="10" t="str">
        <f aca="false">IFERROR(C197*F197,"")</f>
        <v/>
      </c>
      <c r="I197" s="10" t="str">
        <f aca="false">IFERROR(G197-H197,"")</f>
        <v/>
      </c>
      <c r="J197" s="21"/>
    </row>
    <row r="198" customFormat="false" ht="15" hidden="false" customHeight="true" outlineLevel="0" collapsed="false">
      <c r="A198" s="20"/>
      <c r="B198" s="21"/>
      <c r="C198" s="21"/>
      <c r="D198" s="21"/>
      <c r="E198" s="10" t="str">
        <f aca="false">IFERROR(INDEX('Model Pricing'!$E$2:$E$52,MATCH(B198,'Model Pricing'!$A$2:$A$52,0)),"")</f>
        <v/>
      </c>
      <c r="F198" s="10" t="str">
        <f aca="false">IFERROR(INDEX('Model Pricing'!$O$2:$O$52,MATCH(B198,'Model Pricing'!$A$2:$A$52,0)),"")</f>
        <v/>
      </c>
      <c r="G198" s="10" t="n">
        <f aca="false">IFERROR(C198*D198,"")</f>
        <v>0</v>
      </c>
      <c r="H198" s="10" t="str">
        <f aca="false">IFERROR(C198*F198,"")</f>
        <v/>
      </c>
      <c r="I198" s="10" t="str">
        <f aca="false">IFERROR(G198-H198,"")</f>
        <v/>
      </c>
      <c r="J198" s="21"/>
    </row>
    <row r="199" customFormat="false" ht="15" hidden="false" customHeight="true" outlineLevel="0" collapsed="false">
      <c r="A199" s="20"/>
      <c r="B199" s="21"/>
      <c r="C199" s="21"/>
      <c r="D199" s="21"/>
      <c r="E199" s="10" t="str">
        <f aca="false">IFERROR(INDEX('Model Pricing'!$E$2:$E$52,MATCH(B199,'Model Pricing'!$A$2:$A$52,0)),"")</f>
        <v/>
      </c>
      <c r="F199" s="10" t="str">
        <f aca="false">IFERROR(INDEX('Model Pricing'!$O$2:$O$52,MATCH(B199,'Model Pricing'!$A$2:$A$52,0)),"")</f>
        <v/>
      </c>
      <c r="G199" s="10" t="n">
        <f aca="false">IFERROR(C199*D199,"")</f>
        <v>0</v>
      </c>
      <c r="H199" s="10" t="str">
        <f aca="false">IFERROR(C199*F199,"")</f>
        <v/>
      </c>
      <c r="I199" s="10" t="str">
        <f aca="false">IFERROR(G199-H199,"")</f>
        <v/>
      </c>
      <c r="J199" s="21"/>
    </row>
    <row r="200" customFormat="false" ht="15" hidden="false" customHeight="true" outlineLevel="0" collapsed="false">
      <c r="A200" s="20"/>
      <c r="B200" s="21"/>
      <c r="C200" s="21"/>
      <c r="D200" s="21"/>
      <c r="E200" s="10" t="str">
        <f aca="false">IFERROR(INDEX('Model Pricing'!$E$2:$E$52,MATCH(B200,'Model Pricing'!$A$2:$A$52,0)),"")</f>
        <v/>
      </c>
      <c r="F200" s="10" t="str">
        <f aca="false">IFERROR(INDEX('Model Pricing'!$O$2:$O$52,MATCH(B200,'Model Pricing'!$A$2:$A$52,0)),"")</f>
        <v/>
      </c>
      <c r="G200" s="10" t="n">
        <f aca="false">IFERROR(C200*D200,"")</f>
        <v>0</v>
      </c>
      <c r="H200" s="10" t="str">
        <f aca="false">IFERROR(C200*F200,"")</f>
        <v/>
      </c>
      <c r="I200" s="10" t="str">
        <f aca="false">IFERROR(G200-H200,"")</f>
        <v/>
      </c>
      <c r="J200" s="21"/>
    </row>
    <row r="201" customFormat="false" ht="15" hidden="false" customHeight="true" outlineLevel="0" collapsed="false">
      <c r="A201" s="20"/>
      <c r="B201" s="21"/>
      <c r="C201" s="21"/>
      <c r="D201" s="21"/>
      <c r="E201" s="10" t="str">
        <f aca="false">IFERROR(INDEX('Model Pricing'!$E$2:$E$52,MATCH(B201,'Model Pricing'!$A$2:$A$52,0)),"")</f>
        <v/>
      </c>
      <c r="F201" s="10" t="str">
        <f aca="false">IFERROR(INDEX('Model Pricing'!$O$2:$O$52,MATCH(B201,'Model Pricing'!$A$2:$A$52,0)),"")</f>
        <v/>
      </c>
      <c r="G201" s="10" t="n">
        <f aca="false">IFERROR(C201*D201,"")</f>
        <v>0</v>
      </c>
      <c r="H201" s="10" t="str">
        <f aca="false">IFERROR(C201*F201,"")</f>
        <v/>
      </c>
      <c r="I201" s="10" t="str">
        <f aca="false">IFERROR(G201-H201,"")</f>
        <v/>
      </c>
      <c r="J201" s="21"/>
    </row>
    <row r="202" customFormat="false" ht="15" hidden="false" customHeight="true" outlineLevel="0" collapsed="false">
      <c r="A202" s="20"/>
      <c r="B202" s="21"/>
      <c r="C202" s="21"/>
      <c r="D202" s="21"/>
      <c r="E202" s="10" t="str">
        <f aca="false">IFERROR(INDEX('Model Pricing'!$E$2:$E$52,MATCH(B202,'Model Pricing'!$A$2:$A$52,0)),"")</f>
        <v/>
      </c>
      <c r="F202" s="10" t="str">
        <f aca="false">IFERROR(INDEX('Model Pricing'!$O$2:$O$52,MATCH(B202,'Model Pricing'!$A$2:$A$52,0)),"")</f>
        <v/>
      </c>
      <c r="G202" s="10" t="n">
        <f aca="false">IFERROR(C202*D202,"")</f>
        <v>0</v>
      </c>
      <c r="H202" s="10" t="str">
        <f aca="false">IFERROR(C202*F202,"")</f>
        <v/>
      </c>
      <c r="I202" s="10" t="str">
        <f aca="false">IFERROR(G202-H202,"")</f>
        <v/>
      </c>
      <c r="J202" s="21"/>
    </row>
    <row r="203" customFormat="false" ht="15" hidden="false" customHeight="true" outlineLevel="0" collapsed="false">
      <c r="A203" s="20"/>
      <c r="B203" s="21"/>
      <c r="C203" s="21"/>
      <c r="D203" s="21"/>
      <c r="E203" s="10" t="str">
        <f aca="false">IFERROR(INDEX('Model Pricing'!$E$2:$E$52,MATCH(B203,'Model Pricing'!$A$2:$A$52,0)),"")</f>
        <v/>
      </c>
      <c r="F203" s="10" t="str">
        <f aca="false">IFERROR(INDEX('Model Pricing'!$O$2:$O$52,MATCH(B203,'Model Pricing'!$A$2:$A$52,0)),"")</f>
        <v/>
      </c>
      <c r="G203" s="10" t="n">
        <f aca="false">IFERROR(C203*D203,"")</f>
        <v>0</v>
      </c>
      <c r="H203" s="10" t="str">
        <f aca="false">IFERROR(C203*F203,"")</f>
        <v/>
      </c>
      <c r="I203" s="10" t="str">
        <f aca="false">IFERROR(G203-H203,"")</f>
        <v/>
      </c>
      <c r="J203" s="21"/>
    </row>
    <row r="204" customFormat="false" ht="15" hidden="false" customHeight="true" outlineLevel="0" collapsed="false">
      <c r="A204" s="20"/>
      <c r="B204" s="21"/>
      <c r="C204" s="21"/>
      <c r="D204" s="21"/>
      <c r="E204" s="10" t="str">
        <f aca="false">IFERROR(INDEX('Model Pricing'!$E$2:$E$52,MATCH(B204,'Model Pricing'!$A$2:$A$52,0)),"")</f>
        <v/>
      </c>
      <c r="F204" s="10" t="str">
        <f aca="false">IFERROR(INDEX('Model Pricing'!$O$2:$O$52,MATCH(B204,'Model Pricing'!$A$2:$A$52,0)),"")</f>
        <v/>
      </c>
      <c r="G204" s="10" t="n">
        <f aca="false">IFERROR(C204*D204,"")</f>
        <v>0</v>
      </c>
      <c r="H204" s="10" t="str">
        <f aca="false">IFERROR(C204*F204,"")</f>
        <v/>
      </c>
      <c r="I204" s="10" t="str">
        <f aca="false">IFERROR(G204-H204,"")</f>
        <v/>
      </c>
      <c r="J204" s="21"/>
    </row>
    <row r="205" customFormat="false" ht="15" hidden="false" customHeight="true" outlineLevel="0" collapsed="false">
      <c r="A205" s="20"/>
      <c r="B205" s="21"/>
      <c r="C205" s="21"/>
      <c r="D205" s="21"/>
      <c r="E205" s="10" t="str">
        <f aca="false">IFERROR(INDEX('Model Pricing'!$E$2:$E$52,MATCH(B205,'Model Pricing'!$A$2:$A$52,0)),"")</f>
        <v/>
      </c>
      <c r="F205" s="10" t="str">
        <f aca="false">IFERROR(INDEX('Model Pricing'!$O$2:$O$52,MATCH(B205,'Model Pricing'!$A$2:$A$52,0)),"")</f>
        <v/>
      </c>
      <c r="G205" s="10" t="n">
        <f aca="false">IFERROR(C205*D205,"")</f>
        <v>0</v>
      </c>
      <c r="H205" s="10" t="str">
        <f aca="false">IFERROR(C205*F205,"")</f>
        <v/>
      </c>
      <c r="I205" s="10" t="str">
        <f aca="false">IFERROR(G205-H205,"")</f>
        <v/>
      </c>
      <c r="J205" s="21"/>
    </row>
    <row r="206" customFormat="false" ht="15" hidden="false" customHeight="true" outlineLevel="0" collapsed="false">
      <c r="A206" s="20"/>
      <c r="B206" s="21"/>
      <c r="C206" s="21"/>
      <c r="D206" s="21"/>
      <c r="E206" s="10" t="str">
        <f aca="false">IFERROR(INDEX('Model Pricing'!$E$2:$E$52,MATCH(B206,'Model Pricing'!$A$2:$A$52,0)),"")</f>
        <v/>
      </c>
      <c r="F206" s="10" t="str">
        <f aca="false">IFERROR(INDEX('Model Pricing'!$O$2:$O$52,MATCH(B206,'Model Pricing'!$A$2:$A$52,0)),"")</f>
        <v/>
      </c>
      <c r="G206" s="10" t="n">
        <f aca="false">IFERROR(C206*D206,"")</f>
        <v>0</v>
      </c>
      <c r="H206" s="10" t="str">
        <f aca="false">IFERROR(C206*F206,"")</f>
        <v/>
      </c>
      <c r="I206" s="10" t="str">
        <f aca="false">IFERROR(G206-H206,"")</f>
        <v/>
      </c>
      <c r="J206" s="21"/>
    </row>
    <row r="207" customFormat="false" ht="15" hidden="false" customHeight="true" outlineLevel="0" collapsed="false">
      <c r="A207" s="20"/>
      <c r="B207" s="21"/>
      <c r="C207" s="21"/>
      <c r="D207" s="21"/>
      <c r="E207" s="10" t="str">
        <f aca="false">IFERROR(INDEX('Model Pricing'!$E$2:$E$52,MATCH(B207,'Model Pricing'!$A$2:$A$52,0)),"")</f>
        <v/>
      </c>
      <c r="F207" s="10" t="str">
        <f aca="false">IFERROR(INDEX('Model Pricing'!$O$2:$O$52,MATCH(B207,'Model Pricing'!$A$2:$A$52,0)),"")</f>
        <v/>
      </c>
      <c r="G207" s="10" t="n">
        <f aca="false">IFERROR(C207*D207,"")</f>
        <v>0</v>
      </c>
      <c r="H207" s="10" t="str">
        <f aca="false">IFERROR(C207*F207,"")</f>
        <v/>
      </c>
      <c r="I207" s="10" t="str">
        <f aca="false">IFERROR(G207-H207,"")</f>
        <v/>
      </c>
      <c r="J207" s="21"/>
    </row>
    <row r="208" customFormat="false" ht="15" hidden="false" customHeight="true" outlineLevel="0" collapsed="false">
      <c r="A208" s="20"/>
      <c r="B208" s="21"/>
      <c r="C208" s="21"/>
      <c r="D208" s="21"/>
      <c r="E208" s="10" t="str">
        <f aca="false">IFERROR(INDEX('Model Pricing'!$E$2:$E$52,MATCH(B208,'Model Pricing'!$A$2:$A$52,0)),"")</f>
        <v/>
      </c>
      <c r="F208" s="10" t="str">
        <f aca="false">IFERROR(INDEX('Model Pricing'!$O$2:$O$52,MATCH(B208,'Model Pricing'!$A$2:$A$52,0)),"")</f>
        <v/>
      </c>
      <c r="G208" s="10" t="n">
        <f aca="false">IFERROR(C208*D208,"")</f>
        <v>0</v>
      </c>
      <c r="H208" s="10" t="str">
        <f aca="false">IFERROR(C208*F208,"")</f>
        <v/>
      </c>
      <c r="I208" s="10" t="str">
        <f aca="false">IFERROR(G208-H208,"")</f>
        <v/>
      </c>
      <c r="J208" s="21"/>
    </row>
    <row r="209" customFormat="false" ht="15" hidden="false" customHeight="true" outlineLevel="0" collapsed="false">
      <c r="A209" s="20"/>
      <c r="B209" s="21"/>
      <c r="C209" s="21"/>
      <c r="D209" s="21"/>
      <c r="E209" s="10" t="str">
        <f aca="false">IFERROR(INDEX('Model Pricing'!$E$2:$E$52,MATCH(B209,'Model Pricing'!$A$2:$A$52,0)),"")</f>
        <v/>
      </c>
      <c r="F209" s="10" t="str">
        <f aca="false">IFERROR(INDEX('Model Pricing'!$O$2:$O$52,MATCH(B209,'Model Pricing'!$A$2:$A$52,0)),"")</f>
        <v/>
      </c>
      <c r="G209" s="10" t="n">
        <f aca="false">IFERROR(C209*D209,"")</f>
        <v>0</v>
      </c>
      <c r="H209" s="10" t="str">
        <f aca="false">IFERROR(C209*F209,"")</f>
        <v/>
      </c>
      <c r="I209" s="10" t="str">
        <f aca="false">IFERROR(G209-H209,"")</f>
        <v/>
      </c>
      <c r="J209" s="21"/>
    </row>
    <row r="210" customFormat="false" ht="15" hidden="false" customHeight="true" outlineLevel="0" collapsed="false">
      <c r="A210" s="20"/>
      <c r="B210" s="21"/>
      <c r="C210" s="21"/>
      <c r="D210" s="21"/>
      <c r="E210" s="10" t="str">
        <f aca="false">IFERROR(INDEX('Model Pricing'!$E$2:$E$52,MATCH(B210,'Model Pricing'!$A$2:$A$52,0)),"")</f>
        <v/>
      </c>
      <c r="F210" s="10" t="str">
        <f aca="false">IFERROR(INDEX('Model Pricing'!$O$2:$O$52,MATCH(B210,'Model Pricing'!$A$2:$A$52,0)),"")</f>
        <v/>
      </c>
      <c r="G210" s="10" t="n">
        <f aca="false">IFERROR(C210*D210,"")</f>
        <v>0</v>
      </c>
      <c r="H210" s="10" t="str">
        <f aca="false">IFERROR(C210*F210,"")</f>
        <v/>
      </c>
      <c r="I210" s="10" t="str">
        <f aca="false">IFERROR(G210-H210,"")</f>
        <v/>
      </c>
      <c r="J210" s="21"/>
    </row>
    <row r="211" customFormat="false" ht="15" hidden="false" customHeight="true" outlineLevel="0" collapsed="false">
      <c r="A211" s="20"/>
      <c r="B211" s="21"/>
      <c r="C211" s="21"/>
      <c r="D211" s="21"/>
      <c r="E211" s="10" t="str">
        <f aca="false">IFERROR(INDEX('Model Pricing'!$E$2:$E$52,MATCH(B211,'Model Pricing'!$A$2:$A$52,0)),"")</f>
        <v/>
      </c>
      <c r="F211" s="10" t="str">
        <f aca="false">IFERROR(INDEX('Model Pricing'!$O$2:$O$52,MATCH(B211,'Model Pricing'!$A$2:$A$52,0)),"")</f>
        <v/>
      </c>
      <c r="G211" s="10" t="n">
        <f aca="false">IFERROR(C211*D211,"")</f>
        <v>0</v>
      </c>
      <c r="H211" s="10" t="str">
        <f aca="false">IFERROR(C211*F211,"")</f>
        <v/>
      </c>
      <c r="I211" s="10" t="str">
        <f aca="false">IFERROR(G211-H211,"")</f>
        <v/>
      </c>
      <c r="J211" s="21"/>
    </row>
    <row r="212" customFormat="false" ht="15" hidden="false" customHeight="true" outlineLevel="0" collapsed="false">
      <c r="A212" s="20"/>
      <c r="B212" s="21"/>
      <c r="C212" s="21"/>
      <c r="D212" s="21"/>
      <c r="E212" s="10" t="str">
        <f aca="false">IFERROR(INDEX('Model Pricing'!$E$2:$E$52,MATCH(B212,'Model Pricing'!$A$2:$A$52,0)),"")</f>
        <v/>
      </c>
      <c r="F212" s="10" t="str">
        <f aca="false">IFERROR(INDEX('Model Pricing'!$O$2:$O$52,MATCH(B212,'Model Pricing'!$A$2:$A$52,0)),"")</f>
        <v/>
      </c>
      <c r="G212" s="10" t="n">
        <f aca="false">IFERROR(C212*D212,"")</f>
        <v>0</v>
      </c>
      <c r="H212" s="10" t="str">
        <f aca="false">IFERROR(C212*F212,"")</f>
        <v/>
      </c>
      <c r="I212" s="10" t="str">
        <f aca="false">IFERROR(G212-H212,"")</f>
        <v/>
      </c>
      <c r="J212" s="21"/>
    </row>
    <row r="213" customFormat="false" ht="15" hidden="false" customHeight="true" outlineLevel="0" collapsed="false">
      <c r="A213" s="20"/>
      <c r="B213" s="21"/>
      <c r="C213" s="21"/>
      <c r="D213" s="21"/>
      <c r="E213" s="10" t="str">
        <f aca="false">IFERROR(INDEX('Model Pricing'!$E$2:$E$52,MATCH(B213,'Model Pricing'!$A$2:$A$52,0)),"")</f>
        <v/>
      </c>
      <c r="F213" s="10" t="str">
        <f aca="false">IFERROR(INDEX('Model Pricing'!$O$2:$O$52,MATCH(B213,'Model Pricing'!$A$2:$A$52,0)),"")</f>
        <v/>
      </c>
      <c r="G213" s="10" t="n">
        <f aca="false">IFERROR(C213*D213,"")</f>
        <v>0</v>
      </c>
      <c r="H213" s="10" t="str">
        <f aca="false">IFERROR(C213*F213,"")</f>
        <v/>
      </c>
      <c r="I213" s="10" t="str">
        <f aca="false">IFERROR(G213-H213,"")</f>
        <v/>
      </c>
      <c r="J213" s="21"/>
    </row>
    <row r="214" customFormat="false" ht="15" hidden="false" customHeight="true" outlineLevel="0" collapsed="false">
      <c r="A214" s="20"/>
      <c r="B214" s="21"/>
      <c r="C214" s="21"/>
      <c r="D214" s="21"/>
      <c r="E214" s="10" t="str">
        <f aca="false">IFERROR(INDEX('Model Pricing'!$E$2:$E$52,MATCH(B214,'Model Pricing'!$A$2:$A$52,0)),"")</f>
        <v/>
      </c>
      <c r="F214" s="10" t="str">
        <f aca="false">IFERROR(INDEX('Model Pricing'!$O$2:$O$52,MATCH(B214,'Model Pricing'!$A$2:$A$52,0)),"")</f>
        <v/>
      </c>
      <c r="G214" s="10" t="n">
        <f aca="false">IFERROR(C214*D214,"")</f>
        <v>0</v>
      </c>
      <c r="H214" s="10" t="str">
        <f aca="false">IFERROR(C214*F214,"")</f>
        <v/>
      </c>
      <c r="I214" s="10" t="str">
        <f aca="false">IFERROR(G214-H214,"")</f>
        <v/>
      </c>
      <c r="J214" s="21"/>
    </row>
    <row r="215" customFormat="false" ht="15" hidden="false" customHeight="true" outlineLevel="0" collapsed="false">
      <c r="A215" s="20"/>
      <c r="B215" s="21"/>
      <c r="C215" s="21"/>
      <c r="D215" s="21"/>
      <c r="E215" s="10" t="str">
        <f aca="false">IFERROR(INDEX('Model Pricing'!$E$2:$E$52,MATCH(B215,'Model Pricing'!$A$2:$A$52,0)),"")</f>
        <v/>
      </c>
      <c r="F215" s="10" t="str">
        <f aca="false">IFERROR(INDEX('Model Pricing'!$O$2:$O$52,MATCH(B215,'Model Pricing'!$A$2:$A$52,0)),"")</f>
        <v/>
      </c>
      <c r="G215" s="10" t="n">
        <f aca="false">IFERROR(C215*D215,"")</f>
        <v>0</v>
      </c>
      <c r="H215" s="10" t="str">
        <f aca="false">IFERROR(C215*F215,"")</f>
        <v/>
      </c>
      <c r="I215" s="10" t="str">
        <f aca="false">IFERROR(G215-H215,"")</f>
        <v/>
      </c>
      <c r="J215" s="21"/>
    </row>
    <row r="216" customFormat="false" ht="15" hidden="false" customHeight="true" outlineLevel="0" collapsed="false">
      <c r="A216" s="20"/>
      <c r="B216" s="21"/>
      <c r="C216" s="21"/>
      <c r="D216" s="21"/>
      <c r="E216" s="10" t="str">
        <f aca="false">IFERROR(INDEX('Model Pricing'!$E$2:$E$52,MATCH(B216,'Model Pricing'!$A$2:$A$52,0)),"")</f>
        <v/>
      </c>
      <c r="F216" s="10" t="str">
        <f aca="false">IFERROR(INDEX('Model Pricing'!$O$2:$O$52,MATCH(B216,'Model Pricing'!$A$2:$A$52,0)),"")</f>
        <v/>
      </c>
      <c r="G216" s="10" t="n">
        <f aca="false">IFERROR(C216*D216,"")</f>
        <v>0</v>
      </c>
      <c r="H216" s="10" t="str">
        <f aca="false">IFERROR(C216*F216,"")</f>
        <v/>
      </c>
      <c r="I216" s="10" t="str">
        <f aca="false">IFERROR(G216-H216,"")</f>
        <v/>
      </c>
      <c r="J216" s="21"/>
    </row>
    <row r="217" customFormat="false" ht="15" hidden="false" customHeight="true" outlineLevel="0" collapsed="false">
      <c r="A217" s="20"/>
      <c r="B217" s="21"/>
      <c r="C217" s="21"/>
      <c r="D217" s="21"/>
      <c r="E217" s="10" t="str">
        <f aca="false">IFERROR(INDEX('Model Pricing'!$E$2:$E$52,MATCH(B217,'Model Pricing'!$A$2:$A$52,0)),"")</f>
        <v/>
      </c>
      <c r="F217" s="10" t="str">
        <f aca="false">IFERROR(INDEX('Model Pricing'!$O$2:$O$52,MATCH(B217,'Model Pricing'!$A$2:$A$52,0)),"")</f>
        <v/>
      </c>
      <c r="G217" s="10" t="n">
        <f aca="false">IFERROR(C217*D217,"")</f>
        <v>0</v>
      </c>
      <c r="H217" s="10" t="str">
        <f aca="false">IFERROR(C217*F217,"")</f>
        <v/>
      </c>
      <c r="I217" s="10" t="str">
        <f aca="false">IFERROR(G217-H217,"")</f>
        <v/>
      </c>
      <c r="J217" s="21"/>
    </row>
    <row r="218" customFormat="false" ht="15" hidden="false" customHeight="true" outlineLevel="0" collapsed="false">
      <c r="A218" s="20"/>
      <c r="B218" s="21"/>
      <c r="C218" s="21"/>
      <c r="D218" s="21"/>
      <c r="E218" s="10" t="str">
        <f aca="false">IFERROR(INDEX('Model Pricing'!$E$2:$E$52,MATCH(B218,'Model Pricing'!$A$2:$A$52,0)),"")</f>
        <v/>
      </c>
      <c r="F218" s="10" t="str">
        <f aca="false">IFERROR(INDEX('Model Pricing'!$O$2:$O$52,MATCH(B218,'Model Pricing'!$A$2:$A$52,0)),"")</f>
        <v/>
      </c>
      <c r="G218" s="10" t="n">
        <f aca="false">IFERROR(C218*D218,"")</f>
        <v>0</v>
      </c>
      <c r="H218" s="10" t="str">
        <f aca="false">IFERROR(C218*F218,"")</f>
        <v/>
      </c>
      <c r="I218" s="10" t="str">
        <f aca="false">IFERROR(G218-H218,"")</f>
        <v/>
      </c>
      <c r="J218" s="21"/>
    </row>
    <row r="219" customFormat="false" ht="15" hidden="false" customHeight="true" outlineLevel="0" collapsed="false">
      <c r="A219" s="20"/>
      <c r="B219" s="21"/>
      <c r="C219" s="21"/>
      <c r="D219" s="21"/>
      <c r="E219" s="10" t="str">
        <f aca="false">IFERROR(INDEX('Model Pricing'!$E$2:$E$52,MATCH(B219,'Model Pricing'!$A$2:$A$52,0)),"")</f>
        <v/>
      </c>
      <c r="F219" s="10" t="str">
        <f aca="false">IFERROR(INDEX('Model Pricing'!$O$2:$O$52,MATCH(B219,'Model Pricing'!$A$2:$A$52,0)),"")</f>
        <v/>
      </c>
      <c r="G219" s="10" t="n">
        <f aca="false">IFERROR(C219*D219,"")</f>
        <v>0</v>
      </c>
      <c r="H219" s="10" t="str">
        <f aca="false">IFERROR(C219*F219,"")</f>
        <v/>
      </c>
      <c r="I219" s="10" t="str">
        <f aca="false">IFERROR(G219-H219,"")</f>
        <v/>
      </c>
      <c r="J219" s="21"/>
    </row>
    <row r="220" customFormat="false" ht="15" hidden="false" customHeight="true" outlineLevel="0" collapsed="false">
      <c r="A220" s="20"/>
      <c r="B220" s="21"/>
      <c r="C220" s="21"/>
      <c r="D220" s="21"/>
      <c r="E220" s="10" t="str">
        <f aca="false">IFERROR(INDEX('Model Pricing'!$E$2:$E$52,MATCH(B220,'Model Pricing'!$A$2:$A$52,0)),"")</f>
        <v/>
      </c>
      <c r="F220" s="10" t="str">
        <f aca="false">IFERROR(INDEX('Model Pricing'!$O$2:$O$52,MATCH(B220,'Model Pricing'!$A$2:$A$52,0)),"")</f>
        <v/>
      </c>
      <c r="G220" s="10" t="n">
        <f aca="false">IFERROR(C220*D220,"")</f>
        <v>0</v>
      </c>
      <c r="H220" s="10" t="str">
        <f aca="false">IFERROR(C220*F220,"")</f>
        <v/>
      </c>
      <c r="I220" s="10" t="str">
        <f aca="false">IFERROR(G220-H220,"")</f>
        <v/>
      </c>
      <c r="J220" s="21"/>
    </row>
    <row r="221" customFormat="false" ht="15" hidden="false" customHeight="true" outlineLevel="0" collapsed="false">
      <c r="A221" s="20"/>
      <c r="B221" s="21"/>
      <c r="C221" s="21"/>
      <c r="D221" s="21"/>
      <c r="E221" s="10" t="str">
        <f aca="false">IFERROR(INDEX('Model Pricing'!$E$2:$E$52,MATCH(B221,'Model Pricing'!$A$2:$A$52,0)),"")</f>
        <v/>
      </c>
      <c r="F221" s="10" t="str">
        <f aca="false">IFERROR(INDEX('Model Pricing'!$O$2:$O$52,MATCH(B221,'Model Pricing'!$A$2:$A$52,0)),"")</f>
        <v/>
      </c>
      <c r="G221" s="10" t="n">
        <f aca="false">IFERROR(C221*D221,"")</f>
        <v>0</v>
      </c>
      <c r="H221" s="10" t="str">
        <f aca="false">IFERROR(C221*F221,"")</f>
        <v/>
      </c>
      <c r="I221" s="10" t="str">
        <f aca="false">IFERROR(G221-H221,"")</f>
        <v/>
      </c>
      <c r="J221" s="21"/>
    </row>
    <row r="222" customFormat="false" ht="15" hidden="false" customHeight="true" outlineLevel="0" collapsed="false">
      <c r="A222" s="20"/>
      <c r="B222" s="21"/>
      <c r="C222" s="21"/>
      <c r="D222" s="21"/>
      <c r="E222" s="10" t="str">
        <f aca="false">IFERROR(INDEX('Model Pricing'!$E$2:$E$52,MATCH(B222,'Model Pricing'!$A$2:$A$52,0)),"")</f>
        <v/>
      </c>
      <c r="F222" s="10" t="str">
        <f aca="false">IFERROR(INDEX('Model Pricing'!$O$2:$O$52,MATCH(B222,'Model Pricing'!$A$2:$A$52,0)),"")</f>
        <v/>
      </c>
      <c r="G222" s="10" t="n">
        <f aca="false">IFERROR(C222*D222,"")</f>
        <v>0</v>
      </c>
      <c r="H222" s="10" t="str">
        <f aca="false">IFERROR(C222*F222,"")</f>
        <v/>
      </c>
      <c r="I222" s="10" t="str">
        <f aca="false">IFERROR(G222-H222,"")</f>
        <v/>
      </c>
      <c r="J222" s="21"/>
    </row>
    <row r="223" customFormat="false" ht="15" hidden="false" customHeight="true" outlineLevel="0" collapsed="false">
      <c r="A223" s="20"/>
      <c r="B223" s="21"/>
      <c r="C223" s="21"/>
      <c r="D223" s="21"/>
      <c r="E223" s="10" t="str">
        <f aca="false">IFERROR(INDEX('Model Pricing'!$E$2:$E$52,MATCH(B223,'Model Pricing'!$A$2:$A$52,0)),"")</f>
        <v/>
      </c>
      <c r="F223" s="10" t="str">
        <f aca="false">IFERROR(INDEX('Model Pricing'!$O$2:$O$52,MATCH(B223,'Model Pricing'!$A$2:$A$52,0)),"")</f>
        <v/>
      </c>
      <c r="G223" s="10" t="n">
        <f aca="false">IFERROR(C223*D223,"")</f>
        <v>0</v>
      </c>
      <c r="H223" s="10" t="str">
        <f aca="false">IFERROR(C223*F223,"")</f>
        <v/>
      </c>
      <c r="I223" s="10" t="str">
        <f aca="false">IFERROR(G223-H223,"")</f>
        <v/>
      </c>
      <c r="J223" s="21"/>
    </row>
    <row r="224" customFormat="false" ht="15" hidden="false" customHeight="true" outlineLevel="0" collapsed="false">
      <c r="A224" s="20"/>
      <c r="B224" s="21"/>
      <c r="C224" s="21"/>
      <c r="D224" s="21"/>
      <c r="E224" s="10" t="str">
        <f aca="false">IFERROR(INDEX('Model Pricing'!$E$2:$E$52,MATCH(B224,'Model Pricing'!$A$2:$A$52,0)),"")</f>
        <v/>
      </c>
      <c r="F224" s="10" t="str">
        <f aca="false">IFERROR(INDEX('Model Pricing'!$O$2:$O$52,MATCH(B224,'Model Pricing'!$A$2:$A$52,0)),"")</f>
        <v/>
      </c>
      <c r="G224" s="10" t="n">
        <f aca="false">IFERROR(C224*D224,"")</f>
        <v>0</v>
      </c>
      <c r="H224" s="10" t="str">
        <f aca="false">IFERROR(C224*F224,"")</f>
        <v/>
      </c>
      <c r="I224" s="10" t="str">
        <f aca="false">IFERROR(G224-H224,"")</f>
        <v/>
      </c>
      <c r="J224" s="21"/>
    </row>
    <row r="225" customFormat="false" ht="15" hidden="false" customHeight="true" outlineLevel="0" collapsed="false">
      <c r="A225" s="20"/>
      <c r="B225" s="21"/>
      <c r="C225" s="21"/>
      <c r="D225" s="21"/>
      <c r="E225" s="10" t="str">
        <f aca="false">IFERROR(INDEX('Model Pricing'!$E$2:$E$52,MATCH(B225,'Model Pricing'!$A$2:$A$52,0)),"")</f>
        <v/>
      </c>
      <c r="F225" s="10" t="str">
        <f aca="false">IFERROR(INDEX('Model Pricing'!$O$2:$O$52,MATCH(B225,'Model Pricing'!$A$2:$A$52,0)),"")</f>
        <v/>
      </c>
      <c r="G225" s="10" t="n">
        <f aca="false">IFERROR(C225*D225,"")</f>
        <v>0</v>
      </c>
      <c r="H225" s="10" t="str">
        <f aca="false">IFERROR(C225*F225,"")</f>
        <v/>
      </c>
      <c r="I225" s="10" t="str">
        <f aca="false">IFERROR(G225-H225,"")</f>
        <v/>
      </c>
      <c r="J225" s="21"/>
    </row>
    <row r="226" customFormat="false" ht="15" hidden="false" customHeight="true" outlineLevel="0" collapsed="false">
      <c r="A226" s="20"/>
      <c r="B226" s="21"/>
      <c r="C226" s="21"/>
      <c r="D226" s="21"/>
      <c r="E226" s="10" t="str">
        <f aca="false">IFERROR(INDEX('Model Pricing'!$E$2:$E$52,MATCH(B226,'Model Pricing'!$A$2:$A$52,0)),"")</f>
        <v/>
      </c>
      <c r="F226" s="10" t="str">
        <f aca="false">IFERROR(INDEX('Model Pricing'!$O$2:$O$52,MATCH(B226,'Model Pricing'!$A$2:$A$52,0)),"")</f>
        <v/>
      </c>
      <c r="G226" s="10" t="n">
        <f aca="false">IFERROR(C226*D226,"")</f>
        <v>0</v>
      </c>
      <c r="H226" s="10" t="str">
        <f aca="false">IFERROR(C226*F226,"")</f>
        <v/>
      </c>
      <c r="I226" s="10" t="str">
        <f aca="false">IFERROR(G226-H226,"")</f>
        <v/>
      </c>
      <c r="J226" s="21"/>
    </row>
    <row r="227" customFormat="false" ht="15" hidden="false" customHeight="true" outlineLevel="0" collapsed="false">
      <c r="A227" s="20"/>
      <c r="B227" s="21"/>
      <c r="C227" s="21"/>
      <c r="D227" s="21"/>
      <c r="E227" s="10" t="str">
        <f aca="false">IFERROR(INDEX('Model Pricing'!$E$2:$E$52,MATCH(B227,'Model Pricing'!$A$2:$A$52,0)),"")</f>
        <v/>
      </c>
      <c r="F227" s="10" t="str">
        <f aca="false">IFERROR(INDEX('Model Pricing'!$O$2:$O$52,MATCH(B227,'Model Pricing'!$A$2:$A$52,0)),"")</f>
        <v/>
      </c>
      <c r="G227" s="10" t="n">
        <f aca="false">IFERROR(C227*D227,"")</f>
        <v>0</v>
      </c>
      <c r="H227" s="10" t="str">
        <f aca="false">IFERROR(C227*F227,"")</f>
        <v/>
      </c>
      <c r="I227" s="10" t="str">
        <f aca="false">IFERROR(G227-H227,"")</f>
        <v/>
      </c>
      <c r="J227" s="21"/>
    </row>
    <row r="228" customFormat="false" ht="15" hidden="false" customHeight="true" outlineLevel="0" collapsed="false">
      <c r="A228" s="20"/>
      <c r="B228" s="21"/>
      <c r="C228" s="21"/>
      <c r="D228" s="21"/>
      <c r="E228" s="10" t="str">
        <f aca="false">IFERROR(INDEX('Model Pricing'!$E$2:$E$52,MATCH(B228,'Model Pricing'!$A$2:$A$52,0)),"")</f>
        <v/>
      </c>
      <c r="F228" s="10" t="str">
        <f aca="false">IFERROR(INDEX('Model Pricing'!$O$2:$O$52,MATCH(B228,'Model Pricing'!$A$2:$A$52,0)),"")</f>
        <v/>
      </c>
      <c r="G228" s="10" t="n">
        <f aca="false">IFERROR(C228*D228,"")</f>
        <v>0</v>
      </c>
      <c r="H228" s="10" t="str">
        <f aca="false">IFERROR(C228*F228,"")</f>
        <v/>
      </c>
      <c r="I228" s="10" t="str">
        <f aca="false">IFERROR(G228-H228,"")</f>
        <v/>
      </c>
      <c r="J228" s="21"/>
    </row>
    <row r="229" customFormat="false" ht="15" hidden="false" customHeight="true" outlineLevel="0" collapsed="false">
      <c r="A229" s="20"/>
      <c r="B229" s="21"/>
      <c r="C229" s="21"/>
      <c r="D229" s="21"/>
      <c r="E229" s="10" t="str">
        <f aca="false">IFERROR(INDEX('Model Pricing'!$E$2:$E$52,MATCH(B229,'Model Pricing'!$A$2:$A$52,0)),"")</f>
        <v/>
      </c>
      <c r="F229" s="10" t="str">
        <f aca="false">IFERROR(INDEX('Model Pricing'!$O$2:$O$52,MATCH(B229,'Model Pricing'!$A$2:$A$52,0)),"")</f>
        <v/>
      </c>
      <c r="G229" s="10" t="n">
        <f aca="false">IFERROR(C229*D229,"")</f>
        <v>0</v>
      </c>
      <c r="H229" s="10" t="str">
        <f aca="false">IFERROR(C229*F229,"")</f>
        <v/>
      </c>
      <c r="I229" s="10" t="str">
        <f aca="false">IFERROR(G229-H229,"")</f>
        <v/>
      </c>
      <c r="J229" s="21"/>
    </row>
    <row r="230" customFormat="false" ht="15" hidden="false" customHeight="true" outlineLevel="0" collapsed="false">
      <c r="A230" s="20"/>
      <c r="B230" s="21"/>
      <c r="C230" s="21"/>
      <c r="D230" s="21"/>
      <c r="E230" s="10" t="str">
        <f aca="false">IFERROR(INDEX('Model Pricing'!$E$2:$E$52,MATCH(B230,'Model Pricing'!$A$2:$A$52,0)),"")</f>
        <v/>
      </c>
      <c r="F230" s="10" t="str">
        <f aca="false">IFERROR(INDEX('Model Pricing'!$O$2:$O$52,MATCH(B230,'Model Pricing'!$A$2:$A$52,0)),"")</f>
        <v/>
      </c>
      <c r="G230" s="10" t="n">
        <f aca="false">IFERROR(C230*D230,"")</f>
        <v>0</v>
      </c>
      <c r="H230" s="10" t="str">
        <f aca="false">IFERROR(C230*F230,"")</f>
        <v/>
      </c>
      <c r="I230" s="10" t="str">
        <f aca="false">IFERROR(G230-H230,"")</f>
        <v/>
      </c>
      <c r="J230" s="21"/>
    </row>
    <row r="231" customFormat="false" ht="15" hidden="false" customHeight="true" outlineLevel="0" collapsed="false">
      <c r="A231" s="20"/>
      <c r="B231" s="21"/>
      <c r="C231" s="21"/>
      <c r="D231" s="21"/>
      <c r="E231" s="10" t="str">
        <f aca="false">IFERROR(INDEX('Model Pricing'!$E$2:$E$52,MATCH(B231,'Model Pricing'!$A$2:$A$52,0)),"")</f>
        <v/>
      </c>
      <c r="F231" s="10" t="str">
        <f aca="false">IFERROR(INDEX('Model Pricing'!$O$2:$O$52,MATCH(B231,'Model Pricing'!$A$2:$A$52,0)),"")</f>
        <v/>
      </c>
      <c r="G231" s="10" t="n">
        <f aca="false">IFERROR(C231*D231,"")</f>
        <v>0</v>
      </c>
      <c r="H231" s="10" t="str">
        <f aca="false">IFERROR(C231*F231,"")</f>
        <v/>
      </c>
      <c r="I231" s="10" t="str">
        <f aca="false">IFERROR(G231-H231,"")</f>
        <v/>
      </c>
      <c r="J231" s="21"/>
    </row>
    <row r="232" customFormat="false" ht="15" hidden="false" customHeight="true" outlineLevel="0" collapsed="false">
      <c r="A232" s="20"/>
      <c r="B232" s="21"/>
      <c r="C232" s="21"/>
      <c r="D232" s="21"/>
      <c r="E232" s="10" t="str">
        <f aca="false">IFERROR(INDEX('Model Pricing'!$E$2:$E$52,MATCH(B232,'Model Pricing'!$A$2:$A$52,0)),"")</f>
        <v/>
      </c>
      <c r="F232" s="10" t="str">
        <f aca="false">IFERROR(INDEX('Model Pricing'!$O$2:$O$52,MATCH(B232,'Model Pricing'!$A$2:$A$52,0)),"")</f>
        <v/>
      </c>
      <c r="G232" s="10" t="n">
        <f aca="false">IFERROR(C232*D232,"")</f>
        <v>0</v>
      </c>
      <c r="H232" s="10" t="str">
        <f aca="false">IFERROR(C232*F232,"")</f>
        <v/>
      </c>
      <c r="I232" s="10" t="str">
        <f aca="false">IFERROR(G232-H232,"")</f>
        <v/>
      </c>
      <c r="J232" s="21"/>
    </row>
    <row r="233" customFormat="false" ht="15" hidden="false" customHeight="true" outlineLevel="0" collapsed="false">
      <c r="A233" s="20"/>
      <c r="B233" s="21"/>
      <c r="C233" s="21"/>
      <c r="D233" s="21"/>
      <c r="E233" s="10" t="str">
        <f aca="false">IFERROR(INDEX('Model Pricing'!$E$2:$E$52,MATCH(B233,'Model Pricing'!$A$2:$A$52,0)),"")</f>
        <v/>
      </c>
      <c r="F233" s="10" t="str">
        <f aca="false">IFERROR(INDEX('Model Pricing'!$O$2:$O$52,MATCH(B233,'Model Pricing'!$A$2:$A$52,0)),"")</f>
        <v/>
      </c>
      <c r="G233" s="10" t="n">
        <f aca="false">IFERROR(C233*D233,"")</f>
        <v>0</v>
      </c>
      <c r="H233" s="10" t="str">
        <f aca="false">IFERROR(C233*F233,"")</f>
        <v/>
      </c>
      <c r="I233" s="10" t="str">
        <f aca="false">IFERROR(G233-H233,"")</f>
        <v/>
      </c>
      <c r="J233" s="21"/>
    </row>
    <row r="234" customFormat="false" ht="15" hidden="false" customHeight="true" outlineLevel="0" collapsed="false">
      <c r="A234" s="20"/>
      <c r="B234" s="21"/>
      <c r="C234" s="21"/>
      <c r="D234" s="21"/>
      <c r="E234" s="10" t="str">
        <f aca="false">IFERROR(INDEX('Model Pricing'!$E$2:$E$52,MATCH(B234,'Model Pricing'!$A$2:$A$52,0)),"")</f>
        <v/>
      </c>
      <c r="F234" s="10" t="str">
        <f aca="false">IFERROR(INDEX('Model Pricing'!$O$2:$O$52,MATCH(B234,'Model Pricing'!$A$2:$A$52,0)),"")</f>
        <v/>
      </c>
      <c r="G234" s="10" t="n">
        <f aca="false">IFERROR(C234*D234,"")</f>
        <v>0</v>
      </c>
      <c r="H234" s="10" t="str">
        <f aca="false">IFERROR(C234*F234,"")</f>
        <v/>
      </c>
      <c r="I234" s="10" t="str">
        <f aca="false">IFERROR(G234-H234,"")</f>
        <v/>
      </c>
      <c r="J234" s="21"/>
    </row>
    <row r="235" customFormat="false" ht="15" hidden="false" customHeight="true" outlineLevel="0" collapsed="false">
      <c r="A235" s="20"/>
      <c r="B235" s="21"/>
      <c r="C235" s="21"/>
      <c r="D235" s="21"/>
      <c r="E235" s="10" t="str">
        <f aca="false">IFERROR(INDEX('Model Pricing'!$E$2:$E$52,MATCH(B235,'Model Pricing'!$A$2:$A$52,0)),"")</f>
        <v/>
      </c>
      <c r="F235" s="10" t="str">
        <f aca="false">IFERROR(INDEX('Model Pricing'!$O$2:$O$52,MATCH(B235,'Model Pricing'!$A$2:$A$52,0)),"")</f>
        <v/>
      </c>
      <c r="G235" s="10" t="n">
        <f aca="false">IFERROR(C235*D235,"")</f>
        <v>0</v>
      </c>
      <c r="H235" s="10" t="str">
        <f aca="false">IFERROR(C235*F235,"")</f>
        <v/>
      </c>
      <c r="I235" s="10" t="str">
        <f aca="false">IFERROR(G235-H235,"")</f>
        <v/>
      </c>
      <c r="J235" s="21"/>
    </row>
    <row r="236" customFormat="false" ht="15" hidden="false" customHeight="true" outlineLevel="0" collapsed="false">
      <c r="A236" s="20"/>
      <c r="B236" s="21"/>
      <c r="C236" s="21"/>
      <c r="D236" s="21"/>
      <c r="E236" s="10" t="str">
        <f aca="false">IFERROR(INDEX('Model Pricing'!$E$2:$E$52,MATCH(B236,'Model Pricing'!$A$2:$A$52,0)),"")</f>
        <v/>
      </c>
      <c r="F236" s="10" t="str">
        <f aca="false">IFERROR(INDEX('Model Pricing'!$O$2:$O$52,MATCH(B236,'Model Pricing'!$A$2:$A$52,0)),"")</f>
        <v/>
      </c>
      <c r="G236" s="10" t="n">
        <f aca="false">IFERROR(C236*D236,"")</f>
        <v>0</v>
      </c>
      <c r="H236" s="10" t="str">
        <f aca="false">IFERROR(C236*F236,"")</f>
        <v/>
      </c>
      <c r="I236" s="10" t="str">
        <f aca="false">IFERROR(G236-H236,"")</f>
        <v/>
      </c>
      <c r="J236" s="21"/>
    </row>
    <row r="237" customFormat="false" ht="15" hidden="false" customHeight="true" outlineLevel="0" collapsed="false">
      <c r="A237" s="20"/>
      <c r="B237" s="21"/>
      <c r="C237" s="21"/>
      <c r="D237" s="21"/>
      <c r="E237" s="10" t="str">
        <f aca="false">IFERROR(INDEX('Model Pricing'!$E$2:$E$52,MATCH(B237,'Model Pricing'!$A$2:$A$52,0)),"")</f>
        <v/>
      </c>
      <c r="F237" s="10" t="str">
        <f aca="false">IFERROR(INDEX('Model Pricing'!$O$2:$O$52,MATCH(B237,'Model Pricing'!$A$2:$A$52,0)),"")</f>
        <v/>
      </c>
      <c r="G237" s="10" t="n">
        <f aca="false">IFERROR(C237*D237,"")</f>
        <v>0</v>
      </c>
      <c r="H237" s="10" t="str">
        <f aca="false">IFERROR(C237*F237,"")</f>
        <v/>
      </c>
      <c r="I237" s="10" t="str">
        <f aca="false">IFERROR(G237-H237,"")</f>
        <v/>
      </c>
      <c r="J237" s="21"/>
    </row>
    <row r="238" customFormat="false" ht="15" hidden="false" customHeight="true" outlineLevel="0" collapsed="false">
      <c r="A238" s="20"/>
      <c r="B238" s="21"/>
      <c r="C238" s="21"/>
      <c r="D238" s="21"/>
      <c r="E238" s="10" t="str">
        <f aca="false">IFERROR(INDEX('Model Pricing'!$E$2:$E$52,MATCH(B238,'Model Pricing'!$A$2:$A$52,0)),"")</f>
        <v/>
      </c>
      <c r="F238" s="10" t="str">
        <f aca="false">IFERROR(INDEX('Model Pricing'!$O$2:$O$52,MATCH(B238,'Model Pricing'!$A$2:$A$52,0)),"")</f>
        <v/>
      </c>
      <c r="G238" s="10" t="n">
        <f aca="false">IFERROR(C238*D238,"")</f>
        <v>0</v>
      </c>
      <c r="H238" s="10" t="str">
        <f aca="false">IFERROR(C238*F238,"")</f>
        <v/>
      </c>
      <c r="I238" s="10" t="str">
        <f aca="false">IFERROR(G238-H238,"")</f>
        <v/>
      </c>
      <c r="J238" s="21"/>
    </row>
    <row r="239" customFormat="false" ht="15" hidden="false" customHeight="true" outlineLevel="0" collapsed="false">
      <c r="A239" s="20"/>
      <c r="B239" s="21"/>
      <c r="C239" s="21"/>
      <c r="D239" s="21"/>
      <c r="E239" s="10" t="str">
        <f aca="false">IFERROR(INDEX('Model Pricing'!$E$2:$E$52,MATCH(B239,'Model Pricing'!$A$2:$A$52,0)),"")</f>
        <v/>
      </c>
      <c r="F239" s="10" t="str">
        <f aca="false">IFERROR(INDEX('Model Pricing'!$O$2:$O$52,MATCH(B239,'Model Pricing'!$A$2:$A$52,0)),"")</f>
        <v/>
      </c>
      <c r="G239" s="10" t="n">
        <f aca="false">IFERROR(C239*D239,"")</f>
        <v>0</v>
      </c>
      <c r="H239" s="10" t="str">
        <f aca="false">IFERROR(C239*F239,"")</f>
        <v/>
      </c>
      <c r="I239" s="10" t="str">
        <f aca="false">IFERROR(G239-H239,"")</f>
        <v/>
      </c>
      <c r="J239" s="21"/>
    </row>
    <row r="240" customFormat="false" ht="15" hidden="false" customHeight="true" outlineLevel="0" collapsed="false">
      <c r="A240" s="20"/>
      <c r="B240" s="21"/>
      <c r="C240" s="21"/>
      <c r="D240" s="21"/>
      <c r="E240" s="10" t="str">
        <f aca="false">IFERROR(INDEX('Model Pricing'!$E$2:$E$52,MATCH(B240,'Model Pricing'!$A$2:$A$52,0)),"")</f>
        <v/>
      </c>
      <c r="F240" s="10" t="str">
        <f aca="false">IFERROR(INDEX('Model Pricing'!$O$2:$O$52,MATCH(B240,'Model Pricing'!$A$2:$A$52,0)),"")</f>
        <v/>
      </c>
      <c r="G240" s="10" t="n">
        <f aca="false">IFERROR(C240*D240,"")</f>
        <v>0</v>
      </c>
      <c r="H240" s="10" t="str">
        <f aca="false">IFERROR(C240*F240,"")</f>
        <v/>
      </c>
      <c r="I240" s="10" t="str">
        <f aca="false">IFERROR(G240-H240,"")</f>
        <v/>
      </c>
      <c r="J240" s="21"/>
    </row>
    <row r="241" customFormat="false" ht="15" hidden="false" customHeight="true" outlineLevel="0" collapsed="false">
      <c r="A241" s="20"/>
      <c r="B241" s="21"/>
      <c r="C241" s="21"/>
      <c r="D241" s="21"/>
      <c r="E241" s="10" t="str">
        <f aca="false">IFERROR(INDEX('Model Pricing'!$E$2:$E$52,MATCH(B241,'Model Pricing'!$A$2:$A$52,0)),"")</f>
        <v/>
      </c>
      <c r="F241" s="10" t="str">
        <f aca="false">IFERROR(INDEX('Model Pricing'!$O$2:$O$52,MATCH(B241,'Model Pricing'!$A$2:$A$52,0)),"")</f>
        <v/>
      </c>
      <c r="G241" s="10" t="n">
        <f aca="false">IFERROR(C241*D241,"")</f>
        <v>0</v>
      </c>
      <c r="H241" s="10" t="str">
        <f aca="false">IFERROR(C241*F241,"")</f>
        <v/>
      </c>
      <c r="I241" s="10" t="str">
        <f aca="false">IFERROR(G241-H241,"")</f>
        <v/>
      </c>
      <c r="J241" s="21"/>
    </row>
    <row r="242" customFormat="false" ht="15" hidden="false" customHeight="true" outlineLevel="0" collapsed="false">
      <c r="A242" s="20"/>
      <c r="B242" s="21"/>
      <c r="C242" s="21"/>
      <c r="D242" s="21"/>
      <c r="E242" s="10" t="str">
        <f aca="false">IFERROR(INDEX('Model Pricing'!$E$2:$E$52,MATCH(B242,'Model Pricing'!$A$2:$A$52,0)),"")</f>
        <v/>
      </c>
      <c r="F242" s="10" t="str">
        <f aca="false">IFERROR(INDEX('Model Pricing'!$O$2:$O$52,MATCH(B242,'Model Pricing'!$A$2:$A$52,0)),"")</f>
        <v/>
      </c>
      <c r="G242" s="10" t="n">
        <f aca="false">IFERROR(C242*D242,"")</f>
        <v>0</v>
      </c>
      <c r="H242" s="10" t="str">
        <f aca="false">IFERROR(C242*F242,"")</f>
        <v/>
      </c>
      <c r="I242" s="10" t="str">
        <f aca="false">IFERROR(G242-H242,"")</f>
        <v/>
      </c>
      <c r="J242" s="21"/>
    </row>
    <row r="243" customFormat="false" ht="15" hidden="false" customHeight="true" outlineLevel="0" collapsed="false">
      <c r="A243" s="20"/>
      <c r="B243" s="21"/>
      <c r="C243" s="21"/>
      <c r="D243" s="21"/>
      <c r="E243" s="10" t="str">
        <f aca="false">IFERROR(INDEX('Model Pricing'!$E$2:$E$52,MATCH(B243,'Model Pricing'!$A$2:$A$52,0)),"")</f>
        <v/>
      </c>
      <c r="F243" s="10" t="str">
        <f aca="false">IFERROR(INDEX('Model Pricing'!$O$2:$O$52,MATCH(B243,'Model Pricing'!$A$2:$A$52,0)),"")</f>
        <v/>
      </c>
      <c r="G243" s="10" t="n">
        <f aca="false">IFERROR(C243*D243,"")</f>
        <v>0</v>
      </c>
      <c r="H243" s="10" t="str">
        <f aca="false">IFERROR(C243*F243,"")</f>
        <v/>
      </c>
      <c r="I243" s="10" t="str">
        <f aca="false">IFERROR(G243-H243,"")</f>
        <v/>
      </c>
      <c r="J243" s="21"/>
    </row>
    <row r="244" customFormat="false" ht="15" hidden="false" customHeight="true" outlineLevel="0" collapsed="false">
      <c r="A244" s="20"/>
      <c r="B244" s="21"/>
      <c r="C244" s="21"/>
      <c r="D244" s="21"/>
      <c r="E244" s="10" t="str">
        <f aca="false">IFERROR(INDEX('Model Pricing'!$E$2:$E$52,MATCH(B244,'Model Pricing'!$A$2:$A$52,0)),"")</f>
        <v/>
      </c>
      <c r="F244" s="10" t="str">
        <f aca="false">IFERROR(INDEX('Model Pricing'!$O$2:$O$52,MATCH(B244,'Model Pricing'!$A$2:$A$52,0)),"")</f>
        <v/>
      </c>
      <c r="G244" s="10" t="n">
        <f aca="false">IFERROR(C244*D244,"")</f>
        <v>0</v>
      </c>
      <c r="H244" s="10" t="str">
        <f aca="false">IFERROR(C244*F244,"")</f>
        <v/>
      </c>
      <c r="I244" s="10" t="str">
        <f aca="false">IFERROR(G244-H244,"")</f>
        <v/>
      </c>
      <c r="J244" s="21"/>
    </row>
    <row r="245" customFormat="false" ht="15" hidden="false" customHeight="true" outlineLevel="0" collapsed="false">
      <c r="A245" s="20"/>
      <c r="B245" s="21"/>
      <c r="C245" s="21"/>
      <c r="D245" s="21"/>
      <c r="E245" s="10" t="str">
        <f aca="false">IFERROR(INDEX('Model Pricing'!$E$2:$E$52,MATCH(B245,'Model Pricing'!$A$2:$A$52,0)),"")</f>
        <v/>
      </c>
      <c r="F245" s="10" t="str">
        <f aca="false">IFERROR(INDEX('Model Pricing'!$O$2:$O$52,MATCH(B245,'Model Pricing'!$A$2:$A$52,0)),"")</f>
        <v/>
      </c>
      <c r="G245" s="10" t="n">
        <f aca="false">IFERROR(C245*D245,"")</f>
        <v>0</v>
      </c>
      <c r="H245" s="10" t="str">
        <f aca="false">IFERROR(C245*F245,"")</f>
        <v/>
      </c>
      <c r="I245" s="10" t="str">
        <f aca="false">IFERROR(G245-H245,"")</f>
        <v/>
      </c>
      <c r="J245" s="21"/>
    </row>
    <row r="246" customFormat="false" ht="15" hidden="false" customHeight="true" outlineLevel="0" collapsed="false">
      <c r="A246" s="20"/>
      <c r="B246" s="21"/>
      <c r="C246" s="21"/>
      <c r="D246" s="21"/>
      <c r="E246" s="10" t="str">
        <f aca="false">IFERROR(INDEX('Model Pricing'!$E$2:$E$52,MATCH(B246,'Model Pricing'!$A$2:$A$52,0)),"")</f>
        <v/>
      </c>
      <c r="F246" s="10" t="str">
        <f aca="false">IFERROR(INDEX('Model Pricing'!$O$2:$O$52,MATCH(B246,'Model Pricing'!$A$2:$A$52,0)),"")</f>
        <v/>
      </c>
      <c r="G246" s="10" t="n">
        <f aca="false">IFERROR(C246*D246,"")</f>
        <v>0</v>
      </c>
      <c r="H246" s="10" t="str">
        <f aca="false">IFERROR(C246*F246,"")</f>
        <v/>
      </c>
      <c r="I246" s="10" t="str">
        <f aca="false">IFERROR(G246-H246,"")</f>
        <v/>
      </c>
      <c r="J246" s="21"/>
    </row>
    <row r="247" customFormat="false" ht="15" hidden="false" customHeight="true" outlineLevel="0" collapsed="false">
      <c r="A247" s="20"/>
      <c r="B247" s="21"/>
      <c r="C247" s="21"/>
      <c r="D247" s="21"/>
      <c r="E247" s="10" t="str">
        <f aca="false">IFERROR(INDEX('Model Pricing'!$E$2:$E$52,MATCH(B247,'Model Pricing'!$A$2:$A$52,0)),"")</f>
        <v/>
      </c>
      <c r="F247" s="10" t="str">
        <f aca="false">IFERROR(INDEX('Model Pricing'!$O$2:$O$52,MATCH(B247,'Model Pricing'!$A$2:$A$52,0)),"")</f>
        <v/>
      </c>
      <c r="G247" s="10" t="n">
        <f aca="false">IFERROR(C247*D247,"")</f>
        <v>0</v>
      </c>
      <c r="H247" s="10" t="str">
        <f aca="false">IFERROR(C247*F247,"")</f>
        <v/>
      </c>
      <c r="I247" s="10" t="str">
        <f aca="false">IFERROR(G247-H247,"")</f>
        <v/>
      </c>
      <c r="J247" s="21"/>
    </row>
    <row r="248" customFormat="false" ht="15" hidden="false" customHeight="true" outlineLevel="0" collapsed="false">
      <c r="A248" s="20"/>
      <c r="B248" s="21"/>
      <c r="C248" s="21"/>
      <c r="D248" s="21"/>
      <c r="E248" s="10" t="str">
        <f aca="false">IFERROR(INDEX('Model Pricing'!$E$2:$E$52,MATCH(B248,'Model Pricing'!$A$2:$A$52,0)),"")</f>
        <v/>
      </c>
      <c r="F248" s="10" t="str">
        <f aca="false">IFERROR(INDEX('Model Pricing'!$O$2:$O$52,MATCH(B248,'Model Pricing'!$A$2:$A$52,0)),"")</f>
        <v/>
      </c>
      <c r="G248" s="10" t="n">
        <f aca="false">IFERROR(C248*D248,"")</f>
        <v>0</v>
      </c>
      <c r="H248" s="10" t="str">
        <f aca="false">IFERROR(C248*F248,"")</f>
        <v/>
      </c>
      <c r="I248" s="10" t="str">
        <f aca="false">IFERROR(G248-H248,"")</f>
        <v/>
      </c>
      <c r="J248" s="21"/>
    </row>
    <row r="249" customFormat="false" ht="15" hidden="false" customHeight="true" outlineLevel="0" collapsed="false">
      <c r="A249" s="20"/>
      <c r="B249" s="21"/>
      <c r="C249" s="21"/>
      <c r="D249" s="21"/>
      <c r="E249" s="10" t="str">
        <f aca="false">IFERROR(INDEX('Model Pricing'!$E$2:$E$52,MATCH(B249,'Model Pricing'!$A$2:$A$52,0)),"")</f>
        <v/>
      </c>
      <c r="F249" s="10" t="str">
        <f aca="false">IFERROR(INDEX('Model Pricing'!$O$2:$O$52,MATCH(B249,'Model Pricing'!$A$2:$A$52,0)),"")</f>
        <v/>
      </c>
      <c r="G249" s="10" t="n">
        <f aca="false">IFERROR(C249*D249,"")</f>
        <v>0</v>
      </c>
      <c r="H249" s="10" t="str">
        <f aca="false">IFERROR(C249*F249,"")</f>
        <v/>
      </c>
      <c r="I249" s="10" t="str">
        <f aca="false">IFERROR(G249-H249,"")</f>
        <v/>
      </c>
      <c r="J249" s="21"/>
    </row>
    <row r="250" customFormat="false" ht="15" hidden="false" customHeight="true" outlineLevel="0" collapsed="false">
      <c r="A250" s="20"/>
      <c r="B250" s="21"/>
      <c r="C250" s="21"/>
      <c r="D250" s="21"/>
      <c r="E250" s="10" t="str">
        <f aca="false">IFERROR(INDEX('Model Pricing'!$E$2:$E$52,MATCH(B250,'Model Pricing'!$A$2:$A$52,0)),"")</f>
        <v/>
      </c>
      <c r="F250" s="10" t="str">
        <f aca="false">IFERROR(INDEX('Model Pricing'!$O$2:$O$52,MATCH(B250,'Model Pricing'!$A$2:$A$52,0)),"")</f>
        <v/>
      </c>
      <c r="G250" s="10" t="n">
        <f aca="false">IFERROR(C250*D250,"")</f>
        <v>0</v>
      </c>
      <c r="H250" s="10" t="str">
        <f aca="false">IFERROR(C250*F250,"")</f>
        <v/>
      </c>
      <c r="I250" s="10" t="str">
        <f aca="false">IFERROR(G250-H250,"")</f>
        <v/>
      </c>
      <c r="J250" s="21"/>
    </row>
    <row r="251" customFormat="false" ht="15" hidden="false" customHeight="true" outlineLevel="0" collapsed="false">
      <c r="A251" s="20"/>
      <c r="B251" s="21"/>
      <c r="C251" s="21"/>
      <c r="D251" s="21"/>
      <c r="E251" s="10" t="str">
        <f aca="false">IFERROR(INDEX('Model Pricing'!$E$2:$E$52,MATCH(B251,'Model Pricing'!$A$2:$A$52,0)),"")</f>
        <v/>
      </c>
      <c r="F251" s="10" t="str">
        <f aca="false">IFERROR(INDEX('Model Pricing'!$O$2:$O$52,MATCH(B251,'Model Pricing'!$A$2:$A$52,0)),"")</f>
        <v/>
      </c>
      <c r="G251" s="10" t="n">
        <f aca="false">IFERROR(C251*D251,"")</f>
        <v>0</v>
      </c>
      <c r="H251" s="10" t="str">
        <f aca="false">IFERROR(C251*F251,"")</f>
        <v/>
      </c>
      <c r="I251" s="10" t="str">
        <f aca="false">IFERROR(G251-H251,"")</f>
        <v/>
      </c>
      <c r="J251" s="21"/>
    </row>
    <row r="252" customFormat="false" ht="15" hidden="false" customHeight="true" outlineLevel="0" collapsed="false">
      <c r="A252" s="20"/>
      <c r="B252" s="21"/>
      <c r="C252" s="21"/>
      <c r="D252" s="21"/>
      <c r="E252" s="10" t="str">
        <f aca="false">IFERROR(INDEX('Model Pricing'!$E$2:$E$52,MATCH(B252,'Model Pricing'!$A$2:$A$52,0)),"")</f>
        <v/>
      </c>
      <c r="F252" s="10" t="str">
        <f aca="false">IFERROR(INDEX('Model Pricing'!$O$2:$O$52,MATCH(B252,'Model Pricing'!$A$2:$A$52,0)),"")</f>
        <v/>
      </c>
      <c r="G252" s="10" t="n">
        <f aca="false">IFERROR(C252*D252,"")</f>
        <v>0</v>
      </c>
      <c r="H252" s="10" t="str">
        <f aca="false">IFERROR(C252*F252,"")</f>
        <v/>
      </c>
      <c r="I252" s="10" t="str">
        <f aca="false">IFERROR(G252-H252,"")</f>
        <v/>
      </c>
      <c r="J252" s="21"/>
    </row>
    <row r="253" customFormat="false" ht="15" hidden="false" customHeight="true" outlineLevel="0" collapsed="false">
      <c r="A253" s="20"/>
      <c r="B253" s="21"/>
      <c r="C253" s="21"/>
      <c r="D253" s="21"/>
      <c r="E253" s="10" t="str">
        <f aca="false">IFERROR(INDEX('Model Pricing'!$E$2:$E$52,MATCH(B253,'Model Pricing'!$A$2:$A$52,0)),"")</f>
        <v/>
      </c>
      <c r="F253" s="10" t="str">
        <f aca="false">IFERROR(INDEX('Model Pricing'!$O$2:$O$52,MATCH(B253,'Model Pricing'!$A$2:$A$52,0)),"")</f>
        <v/>
      </c>
      <c r="G253" s="10" t="n">
        <f aca="false">IFERROR(C253*D253,"")</f>
        <v>0</v>
      </c>
      <c r="H253" s="10" t="str">
        <f aca="false">IFERROR(C253*F253,"")</f>
        <v/>
      </c>
      <c r="I253" s="10" t="str">
        <f aca="false">IFERROR(G253-H253,"")</f>
        <v/>
      </c>
      <c r="J253" s="21"/>
    </row>
    <row r="254" customFormat="false" ht="15" hidden="false" customHeight="true" outlineLevel="0" collapsed="false">
      <c r="A254" s="20"/>
      <c r="B254" s="21"/>
      <c r="C254" s="21"/>
      <c r="D254" s="21"/>
      <c r="E254" s="10" t="str">
        <f aca="false">IFERROR(INDEX('Model Pricing'!$E$2:$E$52,MATCH(B254,'Model Pricing'!$A$2:$A$52,0)),"")</f>
        <v/>
      </c>
      <c r="F254" s="10" t="str">
        <f aca="false">IFERROR(INDEX('Model Pricing'!$O$2:$O$52,MATCH(B254,'Model Pricing'!$A$2:$A$52,0)),"")</f>
        <v/>
      </c>
      <c r="G254" s="10" t="n">
        <f aca="false">IFERROR(C254*D254,"")</f>
        <v>0</v>
      </c>
      <c r="H254" s="10" t="str">
        <f aca="false">IFERROR(C254*F254,"")</f>
        <v/>
      </c>
      <c r="I254" s="10" t="str">
        <f aca="false">IFERROR(G254-H254,"")</f>
        <v/>
      </c>
      <c r="J254" s="21"/>
    </row>
    <row r="255" customFormat="false" ht="15" hidden="false" customHeight="true" outlineLevel="0" collapsed="false">
      <c r="A255" s="20"/>
      <c r="B255" s="21"/>
      <c r="C255" s="21"/>
      <c r="D255" s="21"/>
      <c r="E255" s="10" t="str">
        <f aca="false">IFERROR(INDEX('Model Pricing'!$E$2:$E$52,MATCH(B255,'Model Pricing'!$A$2:$A$52,0)),"")</f>
        <v/>
      </c>
      <c r="F255" s="10" t="str">
        <f aca="false">IFERROR(INDEX('Model Pricing'!$O$2:$O$52,MATCH(B255,'Model Pricing'!$A$2:$A$52,0)),"")</f>
        <v/>
      </c>
      <c r="G255" s="10" t="n">
        <f aca="false">IFERROR(C255*D255,"")</f>
        <v>0</v>
      </c>
      <c r="H255" s="10" t="str">
        <f aca="false">IFERROR(C255*F255,"")</f>
        <v/>
      </c>
      <c r="I255" s="10" t="str">
        <f aca="false">IFERROR(G255-H255,"")</f>
        <v/>
      </c>
      <c r="J255" s="21"/>
    </row>
    <row r="256" customFormat="false" ht="15" hidden="false" customHeight="true" outlineLevel="0" collapsed="false">
      <c r="A256" s="20"/>
      <c r="B256" s="21"/>
      <c r="C256" s="21"/>
      <c r="D256" s="21"/>
      <c r="E256" s="10" t="str">
        <f aca="false">IFERROR(INDEX('Model Pricing'!$E$2:$E$52,MATCH(B256,'Model Pricing'!$A$2:$A$52,0)),"")</f>
        <v/>
      </c>
      <c r="F256" s="10" t="str">
        <f aca="false">IFERROR(INDEX('Model Pricing'!$O$2:$O$52,MATCH(B256,'Model Pricing'!$A$2:$A$52,0)),"")</f>
        <v/>
      </c>
      <c r="G256" s="10" t="n">
        <f aca="false">IFERROR(C256*D256,"")</f>
        <v>0</v>
      </c>
      <c r="H256" s="10" t="str">
        <f aca="false">IFERROR(C256*F256,"")</f>
        <v/>
      </c>
      <c r="I256" s="10" t="str">
        <f aca="false">IFERROR(G256-H256,"")</f>
        <v/>
      </c>
      <c r="J256" s="21"/>
    </row>
    <row r="257" customFormat="false" ht="15" hidden="false" customHeight="true" outlineLevel="0" collapsed="false">
      <c r="A257" s="20"/>
      <c r="B257" s="21"/>
      <c r="C257" s="21"/>
      <c r="D257" s="21"/>
      <c r="E257" s="10" t="str">
        <f aca="false">IFERROR(INDEX('Model Pricing'!$E$2:$E$52,MATCH(B257,'Model Pricing'!$A$2:$A$52,0)),"")</f>
        <v/>
      </c>
      <c r="F257" s="10" t="str">
        <f aca="false">IFERROR(INDEX('Model Pricing'!$O$2:$O$52,MATCH(B257,'Model Pricing'!$A$2:$A$52,0)),"")</f>
        <v/>
      </c>
      <c r="G257" s="10" t="n">
        <f aca="false">IFERROR(C257*D257,"")</f>
        <v>0</v>
      </c>
      <c r="H257" s="10" t="str">
        <f aca="false">IFERROR(C257*F257,"")</f>
        <v/>
      </c>
      <c r="I257" s="10" t="str">
        <f aca="false">IFERROR(G257-H257,"")</f>
        <v/>
      </c>
      <c r="J257" s="21"/>
    </row>
    <row r="258" customFormat="false" ht="15" hidden="false" customHeight="true" outlineLevel="0" collapsed="false">
      <c r="A258" s="20"/>
      <c r="B258" s="21"/>
      <c r="C258" s="21"/>
      <c r="D258" s="21"/>
      <c r="E258" s="10" t="str">
        <f aca="false">IFERROR(INDEX('Model Pricing'!$E$2:$E$52,MATCH(B258,'Model Pricing'!$A$2:$A$52,0)),"")</f>
        <v/>
      </c>
      <c r="F258" s="10" t="str">
        <f aca="false">IFERROR(INDEX('Model Pricing'!$O$2:$O$52,MATCH(B258,'Model Pricing'!$A$2:$A$52,0)),"")</f>
        <v/>
      </c>
      <c r="G258" s="10" t="n">
        <f aca="false">IFERROR(C258*D258,"")</f>
        <v>0</v>
      </c>
      <c r="H258" s="10" t="str">
        <f aca="false">IFERROR(C258*F258,"")</f>
        <v/>
      </c>
      <c r="I258" s="10" t="str">
        <f aca="false">IFERROR(G258-H258,"")</f>
        <v/>
      </c>
      <c r="J258" s="21"/>
    </row>
    <row r="259" customFormat="false" ht="15" hidden="false" customHeight="true" outlineLevel="0" collapsed="false">
      <c r="A259" s="20"/>
      <c r="B259" s="21"/>
      <c r="C259" s="21"/>
      <c r="D259" s="21"/>
      <c r="E259" s="10" t="str">
        <f aca="false">IFERROR(INDEX('Model Pricing'!$E$2:$E$52,MATCH(B259,'Model Pricing'!$A$2:$A$52,0)),"")</f>
        <v/>
      </c>
      <c r="F259" s="10" t="str">
        <f aca="false">IFERROR(INDEX('Model Pricing'!$O$2:$O$52,MATCH(B259,'Model Pricing'!$A$2:$A$52,0)),"")</f>
        <v/>
      </c>
      <c r="G259" s="10" t="n">
        <f aca="false">IFERROR(C259*D259,"")</f>
        <v>0</v>
      </c>
      <c r="H259" s="10" t="str">
        <f aca="false">IFERROR(C259*F259,"")</f>
        <v/>
      </c>
      <c r="I259" s="10" t="str">
        <f aca="false">IFERROR(G259-H259,"")</f>
        <v/>
      </c>
      <c r="J259" s="21"/>
    </row>
    <row r="260" customFormat="false" ht="15" hidden="false" customHeight="true" outlineLevel="0" collapsed="false">
      <c r="A260" s="20"/>
      <c r="B260" s="21"/>
      <c r="C260" s="21"/>
      <c r="D260" s="21"/>
      <c r="E260" s="10" t="str">
        <f aca="false">IFERROR(INDEX('Model Pricing'!$E$2:$E$52,MATCH(B260,'Model Pricing'!$A$2:$A$52,0)),"")</f>
        <v/>
      </c>
      <c r="F260" s="10" t="str">
        <f aca="false">IFERROR(INDEX('Model Pricing'!$O$2:$O$52,MATCH(B260,'Model Pricing'!$A$2:$A$52,0)),"")</f>
        <v/>
      </c>
      <c r="G260" s="10" t="n">
        <f aca="false">IFERROR(C260*D260,"")</f>
        <v>0</v>
      </c>
      <c r="H260" s="10" t="str">
        <f aca="false">IFERROR(C260*F260,"")</f>
        <v/>
      </c>
      <c r="I260" s="10" t="str">
        <f aca="false">IFERROR(G260-H260,"")</f>
        <v/>
      </c>
      <c r="J260" s="21"/>
    </row>
    <row r="261" customFormat="false" ht="15" hidden="false" customHeight="true" outlineLevel="0" collapsed="false">
      <c r="A261" s="20"/>
      <c r="B261" s="21"/>
      <c r="C261" s="21"/>
      <c r="D261" s="21"/>
      <c r="E261" s="10" t="str">
        <f aca="false">IFERROR(INDEX('Model Pricing'!$E$2:$E$52,MATCH(B261,'Model Pricing'!$A$2:$A$52,0)),"")</f>
        <v/>
      </c>
      <c r="F261" s="10" t="str">
        <f aca="false">IFERROR(INDEX('Model Pricing'!$O$2:$O$52,MATCH(B261,'Model Pricing'!$A$2:$A$52,0)),"")</f>
        <v/>
      </c>
      <c r="G261" s="10" t="n">
        <f aca="false">IFERROR(C261*D261,"")</f>
        <v>0</v>
      </c>
      <c r="H261" s="10" t="str">
        <f aca="false">IFERROR(C261*F261,"")</f>
        <v/>
      </c>
      <c r="I261" s="10" t="str">
        <f aca="false">IFERROR(G261-H261,"")</f>
        <v/>
      </c>
      <c r="J261" s="21"/>
    </row>
    <row r="262" customFormat="false" ht="15" hidden="false" customHeight="true" outlineLevel="0" collapsed="false">
      <c r="A262" s="20"/>
      <c r="B262" s="21"/>
      <c r="C262" s="21"/>
      <c r="D262" s="21"/>
      <c r="E262" s="10" t="str">
        <f aca="false">IFERROR(INDEX('Model Pricing'!$E$2:$E$52,MATCH(B262,'Model Pricing'!$A$2:$A$52,0)),"")</f>
        <v/>
      </c>
      <c r="F262" s="10" t="str">
        <f aca="false">IFERROR(INDEX('Model Pricing'!$O$2:$O$52,MATCH(B262,'Model Pricing'!$A$2:$A$52,0)),"")</f>
        <v/>
      </c>
      <c r="G262" s="10" t="n">
        <f aca="false">IFERROR(C262*D262,"")</f>
        <v>0</v>
      </c>
      <c r="H262" s="10" t="str">
        <f aca="false">IFERROR(C262*F262,"")</f>
        <v/>
      </c>
      <c r="I262" s="10" t="str">
        <f aca="false">IFERROR(G262-H262,"")</f>
        <v/>
      </c>
      <c r="J262" s="21"/>
    </row>
    <row r="263" customFormat="false" ht="15" hidden="false" customHeight="true" outlineLevel="0" collapsed="false">
      <c r="A263" s="20"/>
      <c r="B263" s="21"/>
      <c r="C263" s="21"/>
      <c r="D263" s="21"/>
      <c r="E263" s="10" t="str">
        <f aca="false">IFERROR(INDEX('Model Pricing'!$E$2:$E$52,MATCH(B263,'Model Pricing'!$A$2:$A$52,0)),"")</f>
        <v/>
      </c>
      <c r="F263" s="10" t="str">
        <f aca="false">IFERROR(INDEX('Model Pricing'!$O$2:$O$52,MATCH(B263,'Model Pricing'!$A$2:$A$52,0)),"")</f>
        <v/>
      </c>
      <c r="G263" s="10" t="n">
        <f aca="false">IFERROR(C263*D263,"")</f>
        <v>0</v>
      </c>
      <c r="H263" s="10" t="str">
        <f aca="false">IFERROR(C263*F263,"")</f>
        <v/>
      </c>
      <c r="I263" s="10" t="str">
        <f aca="false">IFERROR(G263-H263,"")</f>
        <v/>
      </c>
      <c r="J263" s="21"/>
    </row>
    <row r="264" customFormat="false" ht="15" hidden="false" customHeight="true" outlineLevel="0" collapsed="false">
      <c r="A264" s="20"/>
      <c r="B264" s="21"/>
      <c r="C264" s="21"/>
      <c r="D264" s="21"/>
      <c r="E264" s="10" t="str">
        <f aca="false">IFERROR(INDEX('Model Pricing'!$E$2:$E$52,MATCH(B264,'Model Pricing'!$A$2:$A$52,0)),"")</f>
        <v/>
      </c>
      <c r="F264" s="10" t="str">
        <f aca="false">IFERROR(INDEX('Model Pricing'!$O$2:$O$52,MATCH(B264,'Model Pricing'!$A$2:$A$52,0)),"")</f>
        <v/>
      </c>
      <c r="G264" s="10" t="n">
        <f aca="false">IFERROR(C264*D264,"")</f>
        <v>0</v>
      </c>
      <c r="H264" s="10" t="str">
        <f aca="false">IFERROR(C264*F264,"")</f>
        <v/>
      </c>
      <c r="I264" s="10" t="str">
        <f aca="false">IFERROR(G264-H264,"")</f>
        <v/>
      </c>
      <c r="J264" s="21"/>
    </row>
    <row r="265" customFormat="false" ht="15" hidden="false" customHeight="true" outlineLevel="0" collapsed="false">
      <c r="A265" s="20"/>
      <c r="B265" s="21"/>
      <c r="C265" s="21"/>
      <c r="D265" s="21"/>
      <c r="E265" s="10" t="str">
        <f aca="false">IFERROR(INDEX('Model Pricing'!$E$2:$E$52,MATCH(B265,'Model Pricing'!$A$2:$A$52,0)),"")</f>
        <v/>
      </c>
      <c r="F265" s="10" t="str">
        <f aca="false">IFERROR(INDEX('Model Pricing'!$O$2:$O$52,MATCH(B265,'Model Pricing'!$A$2:$A$52,0)),"")</f>
        <v/>
      </c>
      <c r="G265" s="10" t="n">
        <f aca="false">IFERROR(C265*D265,"")</f>
        <v>0</v>
      </c>
      <c r="H265" s="10" t="str">
        <f aca="false">IFERROR(C265*F265,"")</f>
        <v/>
      </c>
      <c r="I265" s="10" t="str">
        <f aca="false">IFERROR(G265-H265,"")</f>
        <v/>
      </c>
      <c r="J265" s="21"/>
    </row>
    <row r="266" customFormat="false" ht="15" hidden="false" customHeight="true" outlineLevel="0" collapsed="false">
      <c r="A266" s="20"/>
      <c r="B266" s="21"/>
      <c r="C266" s="21"/>
      <c r="D266" s="21"/>
      <c r="E266" s="10" t="str">
        <f aca="false">IFERROR(INDEX('Model Pricing'!$E$2:$E$52,MATCH(B266,'Model Pricing'!$A$2:$A$52,0)),"")</f>
        <v/>
      </c>
      <c r="F266" s="10" t="str">
        <f aca="false">IFERROR(INDEX('Model Pricing'!$O$2:$O$52,MATCH(B266,'Model Pricing'!$A$2:$A$52,0)),"")</f>
        <v/>
      </c>
      <c r="G266" s="10" t="n">
        <f aca="false">IFERROR(C266*D266,"")</f>
        <v>0</v>
      </c>
      <c r="H266" s="10" t="str">
        <f aca="false">IFERROR(C266*F266,"")</f>
        <v/>
      </c>
      <c r="I266" s="10" t="str">
        <f aca="false">IFERROR(G266-H266,"")</f>
        <v/>
      </c>
      <c r="J266" s="21"/>
    </row>
    <row r="267" customFormat="false" ht="15" hidden="false" customHeight="true" outlineLevel="0" collapsed="false">
      <c r="A267" s="20"/>
      <c r="B267" s="21"/>
      <c r="C267" s="21"/>
      <c r="D267" s="21"/>
      <c r="E267" s="10" t="str">
        <f aca="false">IFERROR(INDEX('Model Pricing'!$E$2:$E$52,MATCH(B267,'Model Pricing'!$A$2:$A$52,0)),"")</f>
        <v/>
      </c>
      <c r="F267" s="10" t="str">
        <f aca="false">IFERROR(INDEX('Model Pricing'!$O$2:$O$52,MATCH(B267,'Model Pricing'!$A$2:$A$52,0)),"")</f>
        <v/>
      </c>
      <c r="G267" s="10" t="n">
        <f aca="false">IFERROR(C267*D267,"")</f>
        <v>0</v>
      </c>
      <c r="H267" s="10" t="str">
        <f aca="false">IFERROR(C267*F267,"")</f>
        <v/>
      </c>
      <c r="I267" s="10" t="str">
        <f aca="false">IFERROR(G267-H267,"")</f>
        <v/>
      </c>
      <c r="J267" s="21"/>
    </row>
    <row r="268" customFormat="false" ht="15" hidden="false" customHeight="true" outlineLevel="0" collapsed="false">
      <c r="A268" s="20"/>
      <c r="B268" s="21"/>
      <c r="C268" s="21"/>
      <c r="D268" s="21"/>
      <c r="E268" s="10" t="str">
        <f aca="false">IFERROR(INDEX('Model Pricing'!$E$2:$E$52,MATCH(B268,'Model Pricing'!$A$2:$A$52,0)),"")</f>
        <v/>
      </c>
      <c r="F268" s="10" t="str">
        <f aca="false">IFERROR(INDEX('Model Pricing'!$O$2:$O$52,MATCH(B268,'Model Pricing'!$A$2:$A$52,0)),"")</f>
        <v/>
      </c>
      <c r="G268" s="10" t="n">
        <f aca="false">IFERROR(C268*D268,"")</f>
        <v>0</v>
      </c>
      <c r="H268" s="10" t="str">
        <f aca="false">IFERROR(C268*F268,"")</f>
        <v/>
      </c>
      <c r="I268" s="10" t="str">
        <f aca="false">IFERROR(G268-H268,"")</f>
        <v/>
      </c>
      <c r="J268" s="21"/>
    </row>
    <row r="269" customFormat="false" ht="15" hidden="false" customHeight="true" outlineLevel="0" collapsed="false">
      <c r="A269" s="20"/>
      <c r="B269" s="21"/>
      <c r="C269" s="21"/>
      <c r="D269" s="21"/>
      <c r="E269" s="10" t="str">
        <f aca="false">IFERROR(INDEX('Model Pricing'!$E$2:$E$52,MATCH(B269,'Model Pricing'!$A$2:$A$52,0)),"")</f>
        <v/>
      </c>
      <c r="F269" s="10" t="str">
        <f aca="false">IFERROR(INDEX('Model Pricing'!$O$2:$O$52,MATCH(B269,'Model Pricing'!$A$2:$A$52,0)),"")</f>
        <v/>
      </c>
      <c r="G269" s="10" t="n">
        <f aca="false">IFERROR(C269*D269,"")</f>
        <v>0</v>
      </c>
      <c r="H269" s="10" t="str">
        <f aca="false">IFERROR(C269*F269,"")</f>
        <v/>
      </c>
      <c r="I269" s="10" t="str">
        <f aca="false">IFERROR(G269-H269,"")</f>
        <v/>
      </c>
      <c r="J269" s="21"/>
    </row>
    <row r="270" customFormat="false" ht="15" hidden="false" customHeight="true" outlineLevel="0" collapsed="false">
      <c r="A270" s="20"/>
      <c r="B270" s="21"/>
      <c r="C270" s="21"/>
      <c r="D270" s="21"/>
      <c r="E270" s="10" t="str">
        <f aca="false">IFERROR(INDEX('Model Pricing'!$E$2:$E$52,MATCH(B270,'Model Pricing'!$A$2:$A$52,0)),"")</f>
        <v/>
      </c>
      <c r="F270" s="10" t="str">
        <f aca="false">IFERROR(INDEX('Model Pricing'!$O$2:$O$52,MATCH(B270,'Model Pricing'!$A$2:$A$52,0)),"")</f>
        <v/>
      </c>
      <c r="G270" s="10" t="n">
        <f aca="false">IFERROR(C270*D270,"")</f>
        <v>0</v>
      </c>
      <c r="H270" s="10" t="str">
        <f aca="false">IFERROR(C270*F270,"")</f>
        <v/>
      </c>
      <c r="I270" s="10" t="str">
        <f aca="false">IFERROR(G270-H270,"")</f>
        <v/>
      </c>
      <c r="J270" s="21"/>
    </row>
    <row r="271" customFormat="false" ht="15" hidden="false" customHeight="true" outlineLevel="0" collapsed="false">
      <c r="A271" s="20"/>
      <c r="B271" s="21"/>
      <c r="C271" s="21"/>
      <c r="D271" s="21"/>
      <c r="E271" s="10" t="str">
        <f aca="false">IFERROR(INDEX('Model Pricing'!$E$2:$E$52,MATCH(B271,'Model Pricing'!$A$2:$A$52,0)),"")</f>
        <v/>
      </c>
      <c r="F271" s="10" t="str">
        <f aca="false">IFERROR(INDEX('Model Pricing'!$O$2:$O$52,MATCH(B271,'Model Pricing'!$A$2:$A$52,0)),"")</f>
        <v/>
      </c>
      <c r="G271" s="10" t="n">
        <f aca="false">IFERROR(C271*D271,"")</f>
        <v>0</v>
      </c>
      <c r="H271" s="10" t="str">
        <f aca="false">IFERROR(C271*F271,"")</f>
        <v/>
      </c>
      <c r="I271" s="10" t="str">
        <f aca="false">IFERROR(G271-H271,"")</f>
        <v/>
      </c>
      <c r="J271" s="21"/>
    </row>
    <row r="272" customFormat="false" ht="15" hidden="false" customHeight="true" outlineLevel="0" collapsed="false">
      <c r="A272" s="20"/>
      <c r="B272" s="21"/>
      <c r="C272" s="21"/>
      <c r="D272" s="21"/>
      <c r="E272" s="10" t="str">
        <f aca="false">IFERROR(INDEX('Model Pricing'!$E$2:$E$52,MATCH(B272,'Model Pricing'!$A$2:$A$52,0)),"")</f>
        <v/>
      </c>
      <c r="F272" s="10" t="str">
        <f aca="false">IFERROR(INDEX('Model Pricing'!$O$2:$O$52,MATCH(B272,'Model Pricing'!$A$2:$A$52,0)),"")</f>
        <v/>
      </c>
      <c r="G272" s="10" t="n">
        <f aca="false">IFERROR(C272*D272,"")</f>
        <v>0</v>
      </c>
      <c r="H272" s="10" t="str">
        <f aca="false">IFERROR(C272*F272,"")</f>
        <v/>
      </c>
      <c r="I272" s="10" t="str">
        <f aca="false">IFERROR(G272-H272,"")</f>
        <v/>
      </c>
      <c r="J272" s="21"/>
    </row>
    <row r="273" customFormat="false" ht="15" hidden="false" customHeight="true" outlineLevel="0" collapsed="false">
      <c r="A273" s="20"/>
      <c r="B273" s="21"/>
      <c r="C273" s="21"/>
      <c r="D273" s="21"/>
      <c r="E273" s="10" t="str">
        <f aca="false">IFERROR(INDEX('Model Pricing'!$E$2:$E$52,MATCH(B273,'Model Pricing'!$A$2:$A$52,0)),"")</f>
        <v/>
      </c>
      <c r="F273" s="10" t="str">
        <f aca="false">IFERROR(INDEX('Model Pricing'!$O$2:$O$52,MATCH(B273,'Model Pricing'!$A$2:$A$52,0)),"")</f>
        <v/>
      </c>
      <c r="G273" s="10" t="n">
        <f aca="false">IFERROR(C273*D273,"")</f>
        <v>0</v>
      </c>
      <c r="H273" s="10" t="str">
        <f aca="false">IFERROR(C273*F273,"")</f>
        <v/>
      </c>
      <c r="I273" s="10" t="str">
        <f aca="false">IFERROR(G273-H273,"")</f>
        <v/>
      </c>
      <c r="J273" s="21"/>
    </row>
    <row r="274" customFormat="false" ht="15" hidden="false" customHeight="true" outlineLevel="0" collapsed="false">
      <c r="A274" s="20"/>
      <c r="B274" s="21"/>
      <c r="C274" s="21"/>
      <c r="D274" s="21"/>
      <c r="E274" s="10" t="str">
        <f aca="false">IFERROR(INDEX('Model Pricing'!$E$2:$E$52,MATCH(B274,'Model Pricing'!$A$2:$A$52,0)),"")</f>
        <v/>
      </c>
      <c r="F274" s="10" t="str">
        <f aca="false">IFERROR(INDEX('Model Pricing'!$O$2:$O$52,MATCH(B274,'Model Pricing'!$A$2:$A$52,0)),"")</f>
        <v/>
      </c>
      <c r="G274" s="10" t="n">
        <f aca="false">IFERROR(C274*D274,"")</f>
        <v>0</v>
      </c>
      <c r="H274" s="10" t="str">
        <f aca="false">IFERROR(C274*F274,"")</f>
        <v/>
      </c>
      <c r="I274" s="10" t="str">
        <f aca="false">IFERROR(G274-H274,"")</f>
        <v/>
      </c>
      <c r="J274" s="21"/>
    </row>
    <row r="275" customFormat="false" ht="15" hidden="false" customHeight="true" outlineLevel="0" collapsed="false">
      <c r="A275" s="20"/>
      <c r="B275" s="21"/>
      <c r="C275" s="21"/>
      <c r="D275" s="21"/>
      <c r="E275" s="10" t="str">
        <f aca="false">IFERROR(INDEX('Model Pricing'!$E$2:$E$52,MATCH(B275,'Model Pricing'!$A$2:$A$52,0)),"")</f>
        <v/>
      </c>
      <c r="F275" s="10" t="str">
        <f aca="false">IFERROR(INDEX('Model Pricing'!$O$2:$O$52,MATCH(B275,'Model Pricing'!$A$2:$A$52,0)),"")</f>
        <v/>
      </c>
      <c r="G275" s="10" t="n">
        <f aca="false">IFERROR(C275*D275,"")</f>
        <v>0</v>
      </c>
      <c r="H275" s="10" t="str">
        <f aca="false">IFERROR(C275*F275,"")</f>
        <v/>
      </c>
      <c r="I275" s="10" t="str">
        <f aca="false">IFERROR(G275-H275,"")</f>
        <v/>
      </c>
      <c r="J275" s="21"/>
    </row>
    <row r="276" customFormat="false" ht="15" hidden="false" customHeight="true" outlineLevel="0" collapsed="false">
      <c r="A276" s="20"/>
      <c r="B276" s="21"/>
      <c r="C276" s="21"/>
      <c r="D276" s="21"/>
      <c r="E276" s="10" t="str">
        <f aca="false">IFERROR(INDEX('Model Pricing'!$E$2:$E$52,MATCH(B276,'Model Pricing'!$A$2:$A$52,0)),"")</f>
        <v/>
      </c>
      <c r="F276" s="10" t="str">
        <f aca="false">IFERROR(INDEX('Model Pricing'!$O$2:$O$52,MATCH(B276,'Model Pricing'!$A$2:$A$52,0)),"")</f>
        <v/>
      </c>
      <c r="G276" s="10" t="n">
        <f aca="false">IFERROR(C276*D276,"")</f>
        <v>0</v>
      </c>
      <c r="H276" s="10" t="str">
        <f aca="false">IFERROR(C276*F276,"")</f>
        <v/>
      </c>
      <c r="I276" s="10" t="str">
        <f aca="false">IFERROR(G276-H276,"")</f>
        <v/>
      </c>
      <c r="J276" s="21"/>
    </row>
    <row r="277" customFormat="false" ht="15" hidden="false" customHeight="true" outlineLevel="0" collapsed="false">
      <c r="A277" s="20"/>
      <c r="B277" s="21"/>
      <c r="C277" s="21"/>
      <c r="D277" s="21"/>
      <c r="E277" s="10" t="str">
        <f aca="false">IFERROR(INDEX('Model Pricing'!$E$2:$E$52,MATCH(B277,'Model Pricing'!$A$2:$A$52,0)),"")</f>
        <v/>
      </c>
      <c r="F277" s="10" t="str">
        <f aca="false">IFERROR(INDEX('Model Pricing'!$O$2:$O$52,MATCH(B277,'Model Pricing'!$A$2:$A$52,0)),"")</f>
        <v/>
      </c>
      <c r="G277" s="10" t="n">
        <f aca="false">IFERROR(C277*D277,"")</f>
        <v>0</v>
      </c>
      <c r="H277" s="10" t="str">
        <f aca="false">IFERROR(C277*F277,"")</f>
        <v/>
      </c>
      <c r="I277" s="10" t="str">
        <f aca="false">IFERROR(G277-H277,"")</f>
        <v/>
      </c>
      <c r="J277" s="21"/>
    </row>
    <row r="278" customFormat="false" ht="15" hidden="false" customHeight="true" outlineLevel="0" collapsed="false">
      <c r="A278" s="20"/>
      <c r="B278" s="21"/>
      <c r="C278" s="21"/>
      <c r="D278" s="21"/>
      <c r="E278" s="10" t="str">
        <f aca="false">IFERROR(INDEX('Model Pricing'!$E$2:$E$52,MATCH(B278,'Model Pricing'!$A$2:$A$52,0)),"")</f>
        <v/>
      </c>
      <c r="F278" s="10" t="str">
        <f aca="false">IFERROR(INDEX('Model Pricing'!$O$2:$O$52,MATCH(B278,'Model Pricing'!$A$2:$A$52,0)),"")</f>
        <v/>
      </c>
      <c r="G278" s="10" t="n">
        <f aca="false">IFERROR(C278*D278,"")</f>
        <v>0</v>
      </c>
      <c r="H278" s="10" t="str">
        <f aca="false">IFERROR(C278*F278,"")</f>
        <v/>
      </c>
      <c r="I278" s="10" t="str">
        <f aca="false">IFERROR(G278-H278,"")</f>
        <v/>
      </c>
      <c r="J278" s="21"/>
    </row>
    <row r="279" customFormat="false" ht="15" hidden="false" customHeight="true" outlineLevel="0" collapsed="false">
      <c r="A279" s="20"/>
      <c r="B279" s="21"/>
      <c r="C279" s="21"/>
      <c r="D279" s="21"/>
      <c r="E279" s="10" t="str">
        <f aca="false">IFERROR(INDEX('Model Pricing'!$E$2:$E$52,MATCH(B279,'Model Pricing'!$A$2:$A$52,0)),"")</f>
        <v/>
      </c>
      <c r="F279" s="10" t="str">
        <f aca="false">IFERROR(INDEX('Model Pricing'!$O$2:$O$52,MATCH(B279,'Model Pricing'!$A$2:$A$52,0)),"")</f>
        <v/>
      </c>
      <c r="G279" s="10" t="n">
        <f aca="false">IFERROR(C279*D279,"")</f>
        <v>0</v>
      </c>
      <c r="H279" s="10" t="str">
        <f aca="false">IFERROR(C279*F279,"")</f>
        <v/>
      </c>
      <c r="I279" s="10" t="str">
        <f aca="false">IFERROR(G279-H279,"")</f>
        <v/>
      </c>
      <c r="J279" s="21"/>
    </row>
    <row r="280" customFormat="false" ht="15" hidden="false" customHeight="true" outlineLevel="0" collapsed="false">
      <c r="A280" s="20"/>
      <c r="B280" s="21"/>
      <c r="C280" s="21"/>
      <c r="D280" s="21"/>
      <c r="E280" s="10" t="str">
        <f aca="false">IFERROR(INDEX('Model Pricing'!$E$2:$E$52,MATCH(B280,'Model Pricing'!$A$2:$A$52,0)),"")</f>
        <v/>
      </c>
      <c r="F280" s="10" t="str">
        <f aca="false">IFERROR(INDEX('Model Pricing'!$O$2:$O$52,MATCH(B280,'Model Pricing'!$A$2:$A$52,0)),"")</f>
        <v/>
      </c>
      <c r="G280" s="10" t="n">
        <f aca="false">IFERROR(C280*D280,"")</f>
        <v>0</v>
      </c>
      <c r="H280" s="10" t="str">
        <f aca="false">IFERROR(C280*F280,"")</f>
        <v/>
      </c>
      <c r="I280" s="10" t="str">
        <f aca="false">IFERROR(G280-H280,"")</f>
        <v/>
      </c>
      <c r="J280" s="21"/>
    </row>
    <row r="281" customFormat="false" ht="15" hidden="false" customHeight="true" outlineLevel="0" collapsed="false">
      <c r="A281" s="20"/>
      <c r="B281" s="21"/>
      <c r="C281" s="21"/>
      <c r="D281" s="21"/>
      <c r="E281" s="10" t="str">
        <f aca="false">IFERROR(INDEX('Model Pricing'!$E$2:$E$52,MATCH(B281,'Model Pricing'!$A$2:$A$52,0)),"")</f>
        <v/>
      </c>
      <c r="F281" s="10" t="str">
        <f aca="false">IFERROR(INDEX('Model Pricing'!$O$2:$O$52,MATCH(B281,'Model Pricing'!$A$2:$A$52,0)),"")</f>
        <v/>
      </c>
      <c r="G281" s="10" t="n">
        <f aca="false">IFERROR(C281*D281,"")</f>
        <v>0</v>
      </c>
      <c r="H281" s="10" t="str">
        <f aca="false">IFERROR(C281*F281,"")</f>
        <v/>
      </c>
      <c r="I281" s="10" t="str">
        <f aca="false">IFERROR(G281-H281,"")</f>
        <v/>
      </c>
      <c r="J281" s="21"/>
    </row>
    <row r="282" customFormat="false" ht="15" hidden="false" customHeight="true" outlineLevel="0" collapsed="false">
      <c r="A282" s="20"/>
      <c r="B282" s="21"/>
      <c r="C282" s="21"/>
      <c r="D282" s="21"/>
      <c r="E282" s="10" t="str">
        <f aca="false">IFERROR(INDEX('Model Pricing'!$E$2:$E$52,MATCH(B282,'Model Pricing'!$A$2:$A$52,0)),"")</f>
        <v/>
      </c>
      <c r="F282" s="10" t="str">
        <f aca="false">IFERROR(INDEX('Model Pricing'!$O$2:$O$52,MATCH(B282,'Model Pricing'!$A$2:$A$52,0)),"")</f>
        <v/>
      </c>
      <c r="G282" s="10" t="n">
        <f aca="false">IFERROR(C282*D282,"")</f>
        <v>0</v>
      </c>
      <c r="H282" s="10" t="str">
        <f aca="false">IFERROR(C282*F282,"")</f>
        <v/>
      </c>
      <c r="I282" s="10" t="str">
        <f aca="false">IFERROR(G282-H282,"")</f>
        <v/>
      </c>
      <c r="J282" s="21"/>
    </row>
    <row r="283" customFormat="false" ht="15" hidden="false" customHeight="true" outlineLevel="0" collapsed="false">
      <c r="A283" s="20"/>
      <c r="B283" s="21"/>
      <c r="C283" s="21"/>
      <c r="D283" s="21"/>
      <c r="E283" s="10" t="str">
        <f aca="false">IFERROR(INDEX('Model Pricing'!$E$2:$E$52,MATCH(B283,'Model Pricing'!$A$2:$A$52,0)),"")</f>
        <v/>
      </c>
      <c r="F283" s="10" t="str">
        <f aca="false">IFERROR(INDEX('Model Pricing'!$O$2:$O$52,MATCH(B283,'Model Pricing'!$A$2:$A$52,0)),"")</f>
        <v/>
      </c>
      <c r="G283" s="10" t="n">
        <f aca="false">IFERROR(C283*D283,"")</f>
        <v>0</v>
      </c>
      <c r="H283" s="10" t="str">
        <f aca="false">IFERROR(C283*F283,"")</f>
        <v/>
      </c>
      <c r="I283" s="10" t="str">
        <f aca="false">IFERROR(G283-H283,"")</f>
        <v/>
      </c>
      <c r="J283" s="21"/>
    </row>
    <row r="284" customFormat="false" ht="15" hidden="false" customHeight="true" outlineLevel="0" collapsed="false">
      <c r="A284" s="20"/>
      <c r="B284" s="21"/>
      <c r="C284" s="21"/>
      <c r="D284" s="21"/>
      <c r="E284" s="10" t="str">
        <f aca="false">IFERROR(INDEX('Model Pricing'!$E$2:$E$52,MATCH(B284,'Model Pricing'!$A$2:$A$52,0)),"")</f>
        <v/>
      </c>
      <c r="F284" s="10" t="str">
        <f aca="false">IFERROR(INDEX('Model Pricing'!$O$2:$O$52,MATCH(B284,'Model Pricing'!$A$2:$A$52,0)),"")</f>
        <v/>
      </c>
      <c r="G284" s="10" t="n">
        <f aca="false">IFERROR(C284*D284,"")</f>
        <v>0</v>
      </c>
      <c r="H284" s="10" t="str">
        <f aca="false">IFERROR(C284*F284,"")</f>
        <v/>
      </c>
      <c r="I284" s="10" t="str">
        <f aca="false">IFERROR(G284-H284,"")</f>
        <v/>
      </c>
      <c r="J284" s="21"/>
    </row>
    <row r="285" customFormat="false" ht="15" hidden="false" customHeight="true" outlineLevel="0" collapsed="false">
      <c r="A285" s="20"/>
      <c r="B285" s="21"/>
      <c r="C285" s="21"/>
      <c r="D285" s="21"/>
      <c r="E285" s="10" t="str">
        <f aca="false">IFERROR(INDEX('Model Pricing'!$E$2:$E$52,MATCH(B285,'Model Pricing'!$A$2:$A$52,0)),"")</f>
        <v/>
      </c>
      <c r="F285" s="10" t="str">
        <f aca="false">IFERROR(INDEX('Model Pricing'!$O$2:$O$52,MATCH(B285,'Model Pricing'!$A$2:$A$52,0)),"")</f>
        <v/>
      </c>
      <c r="G285" s="10" t="n">
        <f aca="false">IFERROR(C285*D285,"")</f>
        <v>0</v>
      </c>
      <c r="H285" s="10" t="str">
        <f aca="false">IFERROR(C285*F285,"")</f>
        <v/>
      </c>
      <c r="I285" s="10" t="str">
        <f aca="false">IFERROR(G285-H285,"")</f>
        <v/>
      </c>
      <c r="J285" s="21"/>
    </row>
    <row r="286" customFormat="false" ht="15" hidden="false" customHeight="true" outlineLevel="0" collapsed="false">
      <c r="A286" s="20"/>
      <c r="B286" s="21"/>
      <c r="C286" s="21"/>
      <c r="D286" s="21"/>
      <c r="E286" s="10" t="str">
        <f aca="false">IFERROR(INDEX('Model Pricing'!$E$2:$E$52,MATCH(B286,'Model Pricing'!$A$2:$A$52,0)),"")</f>
        <v/>
      </c>
      <c r="F286" s="10" t="str">
        <f aca="false">IFERROR(INDEX('Model Pricing'!$O$2:$O$52,MATCH(B286,'Model Pricing'!$A$2:$A$52,0)),"")</f>
        <v/>
      </c>
      <c r="G286" s="10" t="n">
        <f aca="false">IFERROR(C286*D286,"")</f>
        <v>0</v>
      </c>
      <c r="H286" s="10" t="str">
        <f aca="false">IFERROR(C286*F286,"")</f>
        <v/>
      </c>
      <c r="I286" s="10" t="str">
        <f aca="false">IFERROR(G286-H286,"")</f>
        <v/>
      </c>
      <c r="J286" s="21"/>
    </row>
    <row r="287" customFormat="false" ht="15" hidden="false" customHeight="true" outlineLevel="0" collapsed="false">
      <c r="A287" s="20"/>
      <c r="B287" s="21"/>
      <c r="C287" s="21"/>
      <c r="D287" s="21"/>
      <c r="E287" s="10" t="str">
        <f aca="false">IFERROR(INDEX('Model Pricing'!$E$2:$E$52,MATCH(B287,'Model Pricing'!$A$2:$A$52,0)),"")</f>
        <v/>
      </c>
      <c r="F287" s="10" t="str">
        <f aca="false">IFERROR(INDEX('Model Pricing'!$O$2:$O$52,MATCH(B287,'Model Pricing'!$A$2:$A$52,0)),"")</f>
        <v/>
      </c>
      <c r="G287" s="10" t="n">
        <f aca="false">IFERROR(C287*D287,"")</f>
        <v>0</v>
      </c>
      <c r="H287" s="10" t="str">
        <f aca="false">IFERROR(C287*F287,"")</f>
        <v/>
      </c>
      <c r="I287" s="10" t="str">
        <f aca="false">IFERROR(G287-H287,"")</f>
        <v/>
      </c>
      <c r="J287" s="21"/>
    </row>
    <row r="288" customFormat="false" ht="15" hidden="false" customHeight="true" outlineLevel="0" collapsed="false">
      <c r="A288" s="20"/>
      <c r="B288" s="21"/>
      <c r="C288" s="21"/>
      <c r="D288" s="21"/>
      <c r="E288" s="10" t="str">
        <f aca="false">IFERROR(INDEX('Model Pricing'!$E$2:$E$52,MATCH(B288,'Model Pricing'!$A$2:$A$52,0)),"")</f>
        <v/>
      </c>
      <c r="F288" s="10" t="str">
        <f aca="false">IFERROR(INDEX('Model Pricing'!$O$2:$O$52,MATCH(B288,'Model Pricing'!$A$2:$A$52,0)),"")</f>
        <v/>
      </c>
      <c r="G288" s="10" t="n">
        <f aca="false">IFERROR(C288*D288,"")</f>
        <v>0</v>
      </c>
      <c r="H288" s="10" t="str">
        <f aca="false">IFERROR(C288*F288,"")</f>
        <v/>
      </c>
      <c r="I288" s="10" t="str">
        <f aca="false">IFERROR(G288-H288,"")</f>
        <v/>
      </c>
      <c r="J288" s="21"/>
    </row>
    <row r="289" customFormat="false" ht="15" hidden="false" customHeight="true" outlineLevel="0" collapsed="false">
      <c r="A289" s="20"/>
      <c r="B289" s="21"/>
      <c r="C289" s="21"/>
      <c r="D289" s="21"/>
      <c r="E289" s="10" t="str">
        <f aca="false">IFERROR(INDEX('Model Pricing'!$E$2:$E$52,MATCH(B289,'Model Pricing'!$A$2:$A$52,0)),"")</f>
        <v/>
      </c>
      <c r="F289" s="10" t="str">
        <f aca="false">IFERROR(INDEX('Model Pricing'!$O$2:$O$52,MATCH(B289,'Model Pricing'!$A$2:$A$52,0)),"")</f>
        <v/>
      </c>
      <c r="G289" s="10" t="n">
        <f aca="false">IFERROR(C289*D289,"")</f>
        <v>0</v>
      </c>
      <c r="H289" s="10" t="str">
        <f aca="false">IFERROR(C289*F289,"")</f>
        <v/>
      </c>
      <c r="I289" s="10" t="str">
        <f aca="false">IFERROR(G289-H289,"")</f>
        <v/>
      </c>
      <c r="J289" s="21"/>
    </row>
    <row r="290" customFormat="false" ht="15" hidden="false" customHeight="true" outlineLevel="0" collapsed="false">
      <c r="A290" s="20"/>
      <c r="B290" s="21"/>
      <c r="C290" s="21"/>
      <c r="D290" s="21"/>
      <c r="E290" s="10" t="str">
        <f aca="false">IFERROR(INDEX('Model Pricing'!$E$2:$E$52,MATCH(B290,'Model Pricing'!$A$2:$A$52,0)),"")</f>
        <v/>
      </c>
      <c r="F290" s="10" t="str">
        <f aca="false">IFERROR(INDEX('Model Pricing'!$O$2:$O$52,MATCH(B290,'Model Pricing'!$A$2:$A$52,0)),"")</f>
        <v/>
      </c>
      <c r="G290" s="10" t="n">
        <f aca="false">IFERROR(C290*D290,"")</f>
        <v>0</v>
      </c>
      <c r="H290" s="10" t="str">
        <f aca="false">IFERROR(C290*F290,"")</f>
        <v/>
      </c>
      <c r="I290" s="10" t="str">
        <f aca="false">IFERROR(G290-H290,"")</f>
        <v/>
      </c>
      <c r="J290" s="21"/>
    </row>
    <row r="291" customFormat="false" ht="15" hidden="false" customHeight="true" outlineLevel="0" collapsed="false">
      <c r="A291" s="20"/>
      <c r="B291" s="21"/>
      <c r="C291" s="21"/>
      <c r="D291" s="21"/>
      <c r="E291" s="10" t="str">
        <f aca="false">IFERROR(INDEX('Model Pricing'!$E$2:$E$52,MATCH(B291,'Model Pricing'!$A$2:$A$52,0)),"")</f>
        <v/>
      </c>
      <c r="F291" s="10" t="str">
        <f aca="false">IFERROR(INDEX('Model Pricing'!$O$2:$O$52,MATCH(B291,'Model Pricing'!$A$2:$A$52,0)),"")</f>
        <v/>
      </c>
      <c r="G291" s="10" t="n">
        <f aca="false">IFERROR(C291*D291,"")</f>
        <v>0</v>
      </c>
      <c r="H291" s="10" t="str">
        <f aca="false">IFERROR(C291*F291,"")</f>
        <v/>
      </c>
      <c r="I291" s="10" t="str">
        <f aca="false">IFERROR(G291-H291,"")</f>
        <v/>
      </c>
      <c r="J291" s="21"/>
    </row>
    <row r="292" customFormat="false" ht="15" hidden="false" customHeight="true" outlineLevel="0" collapsed="false">
      <c r="A292" s="20"/>
      <c r="B292" s="21"/>
      <c r="C292" s="21"/>
      <c r="D292" s="21"/>
      <c r="E292" s="10" t="str">
        <f aca="false">IFERROR(INDEX('Model Pricing'!$E$2:$E$52,MATCH(B292,'Model Pricing'!$A$2:$A$52,0)),"")</f>
        <v/>
      </c>
      <c r="F292" s="10" t="str">
        <f aca="false">IFERROR(INDEX('Model Pricing'!$O$2:$O$52,MATCH(B292,'Model Pricing'!$A$2:$A$52,0)),"")</f>
        <v/>
      </c>
      <c r="G292" s="10" t="n">
        <f aca="false">IFERROR(C292*D292,"")</f>
        <v>0</v>
      </c>
      <c r="H292" s="10" t="str">
        <f aca="false">IFERROR(C292*F292,"")</f>
        <v/>
      </c>
      <c r="I292" s="10" t="str">
        <f aca="false">IFERROR(G292-H292,"")</f>
        <v/>
      </c>
      <c r="J292" s="21"/>
    </row>
    <row r="293" customFormat="false" ht="15" hidden="false" customHeight="true" outlineLevel="0" collapsed="false">
      <c r="A293" s="20"/>
      <c r="B293" s="21"/>
      <c r="C293" s="21"/>
      <c r="D293" s="21"/>
      <c r="E293" s="10" t="str">
        <f aca="false">IFERROR(INDEX('Model Pricing'!$E$2:$E$52,MATCH(B293,'Model Pricing'!$A$2:$A$52,0)),"")</f>
        <v/>
      </c>
      <c r="F293" s="10" t="str">
        <f aca="false">IFERROR(INDEX('Model Pricing'!$O$2:$O$52,MATCH(B293,'Model Pricing'!$A$2:$A$52,0)),"")</f>
        <v/>
      </c>
      <c r="G293" s="10" t="n">
        <f aca="false">IFERROR(C293*D293,"")</f>
        <v>0</v>
      </c>
      <c r="H293" s="10" t="str">
        <f aca="false">IFERROR(C293*F293,"")</f>
        <v/>
      </c>
      <c r="I293" s="10" t="str">
        <f aca="false">IFERROR(G293-H293,"")</f>
        <v/>
      </c>
      <c r="J293" s="21"/>
    </row>
    <row r="294" customFormat="false" ht="15" hidden="false" customHeight="true" outlineLevel="0" collapsed="false">
      <c r="A294" s="20"/>
      <c r="B294" s="21"/>
      <c r="C294" s="21"/>
      <c r="D294" s="21"/>
      <c r="E294" s="10" t="str">
        <f aca="false">IFERROR(INDEX('Model Pricing'!$E$2:$E$52,MATCH(B294,'Model Pricing'!$A$2:$A$52,0)),"")</f>
        <v/>
      </c>
      <c r="F294" s="10" t="str">
        <f aca="false">IFERROR(INDEX('Model Pricing'!$O$2:$O$52,MATCH(B294,'Model Pricing'!$A$2:$A$52,0)),"")</f>
        <v/>
      </c>
      <c r="G294" s="10" t="n">
        <f aca="false">IFERROR(C294*D294,"")</f>
        <v>0</v>
      </c>
      <c r="H294" s="10" t="str">
        <f aca="false">IFERROR(C294*F294,"")</f>
        <v/>
      </c>
      <c r="I294" s="10" t="str">
        <f aca="false">IFERROR(G294-H294,"")</f>
        <v/>
      </c>
      <c r="J294" s="21"/>
    </row>
    <row r="295" customFormat="false" ht="15" hidden="false" customHeight="true" outlineLevel="0" collapsed="false">
      <c r="A295" s="20"/>
      <c r="B295" s="21"/>
      <c r="C295" s="21"/>
      <c r="D295" s="21"/>
      <c r="E295" s="10" t="str">
        <f aca="false">IFERROR(INDEX('Model Pricing'!$E$2:$E$52,MATCH(B295,'Model Pricing'!$A$2:$A$52,0)),"")</f>
        <v/>
      </c>
      <c r="F295" s="10" t="str">
        <f aca="false">IFERROR(INDEX('Model Pricing'!$O$2:$O$52,MATCH(B295,'Model Pricing'!$A$2:$A$52,0)),"")</f>
        <v/>
      </c>
      <c r="G295" s="10" t="n">
        <f aca="false">IFERROR(C295*D295,"")</f>
        <v>0</v>
      </c>
      <c r="H295" s="10" t="str">
        <f aca="false">IFERROR(C295*F295,"")</f>
        <v/>
      </c>
      <c r="I295" s="10" t="str">
        <f aca="false">IFERROR(G295-H295,"")</f>
        <v/>
      </c>
      <c r="J295" s="21"/>
    </row>
    <row r="296" customFormat="false" ht="15" hidden="false" customHeight="true" outlineLevel="0" collapsed="false">
      <c r="A296" s="20"/>
      <c r="B296" s="21"/>
      <c r="C296" s="21"/>
      <c r="D296" s="21"/>
      <c r="E296" s="10" t="str">
        <f aca="false">IFERROR(INDEX('Model Pricing'!$E$2:$E$52,MATCH(B296,'Model Pricing'!$A$2:$A$52,0)),"")</f>
        <v/>
      </c>
      <c r="F296" s="10" t="str">
        <f aca="false">IFERROR(INDEX('Model Pricing'!$O$2:$O$52,MATCH(B296,'Model Pricing'!$A$2:$A$52,0)),"")</f>
        <v/>
      </c>
      <c r="G296" s="10" t="n">
        <f aca="false">IFERROR(C296*D296,"")</f>
        <v>0</v>
      </c>
      <c r="H296" s="10" t="str">
        <f aca="false">IFERROR(C296*F296,"")</f>
        <v/>
      </c>
      <c r="I296" s="10" t="str">
        <f aca="false">IFERROR(G296-H296,"")</f>
        <v/>
      </c>
      <c r="J296" s="21"/>
    </row>
    <row r="297" customFormat="false" ht="15" hidden="false" customHeight="true" outlineLevel="0" collapsed="false">
      <c r="A297" s="20"/>
      <c r="B297" s="21"/>
      <c r="C297" s="21"/>
      <c r="D297" s="21"/>
      <c r="E297" s="10" t="str">
        <f aca="false">IFERROR(INDEX('Model Pricing'!$E$2:$E$52,MATCH(B297,'Model Pricing'!$A$2:$A$52,0)),"")</f>
        <v/>
      </c>
      <c r="F297" s="10" t="str">
        <f aca="false">IFERROR(INDEX('Model Pricing'!$O$2:$O$52,MATCH(B297,'Model Pricing'!$A$2:$A$52,0)),"")</f>
        <v/>
      </c>
      <c r="G297" s="10" t="n">
        <f aca="false">IFERROR(C297*D297,"")</f>
        <v>0</v>
      </c>
      <c r="H297" s="10" t="str">
        <f aca="false">IFERROR(C297*F297,"")</f>
        <v/>
      </c>
      <c r="I297" s="10" t="str">
        <f aca="false">IFERROR(G297-H297,"")</f>
        <v/>
      </c>
      <c r="J297" s="21"/>
    </row>
    <row r="298" customFormat="false" ht="15" hidden="false" customHeight="true" outlineLevel="0" collapsed="false">
      <c r="A298" s="20"/>
      <c r="B298" s="21"/>
      <c r="C298" s="21"/>
      <c r="D298" s="21"/>
      <c r="E298" s="10" t="str">
        <f aca="false">IFERROR(INDEX('Model Pricing'!$E$2:$E$52,MATCH(B298,'Model Pricing'!$A$2:$A$52,0)),"")</f>
        <v/>
      </c>
      <c r="F298" s="10" t="str">
        <f aca="false">IFERROR(INDEX('Model Pricing'!$O$2:$O$52,MATCH(B298,'Model Pricing'!$A$2:$A$52,0)),"")</f>
        <v/>
      </c>
      <c r="G298" s="10" t="n">
        <f aca="false">IFERROR(C298*D298,"")</f>
        <v>0</v>
      </c>
      <c r="H298" s="10" t="str">
        <f aca="false">IFERROR(C298*F298,"")</f>
        <v/>
      </c>
      <c r="I298" s="10" t="str">
        <f aca="false">IFERROR(G298-H298,"")</f>
        <v/>
      </c>
      <c r="J298" s="21"/>
    </row>
    <row r="299" customFormat="false" ht="15" hidden="false" customHeight="true" outlineLevel="0" collapsed="false">
      <c r="A299" s="20"/>
      <c r="B299" s="21"/>
      <c r="C299" s="21"/>
      <c r="D299" s="21"/>
      <c r="E299" s="10" t="str">
        <f aca="false">IFERROR(INDEX('Model Pricing'!$E$2:$E$52,MATCH(B299,'Model Pricing'!$A$2:$A$52,0)),"")</f>
        <v/>
      </c>
      <c r="F299" s="10" t="str">
        <f aca="false">IFERROR(INDEX('Model Pricing'!$O$2:$O$52,MATCH(B299,'Model Pricing'!$A$2:$A$52,0)),"")</f>
        <v/>
      </c>
      <c r="G299" s="10" t="n">
        <f aca="false">IFERROR(C299*D299,"")</f>
        <v>0</v>
      </c>
      <c r="H299" s="10" t="str">
        <f aca="false">IFERROR(C299*F299,"")</f>
        <v/>
      </c>
      <c r="I299" s="10" t="str">
        <f aca="false">IFERROR(G299-H299,"")</f>
        <v/>
      </c>
      <c r="J299" s="21"/>
    </row>
    <row r="300" customFormat="false" ht="15" hidden="false" customHeight="true" outlineLevel="0" collapsed="false">
      <c r="A300" s="20"/>
      <c r="B300" s="21"/>
      <c r="C300" s="21"/>
      <c r="D300" s="21"/>
      <c r="E300" s="10" t="str">
        <f aca="false">IFERROR(INDEX('Model Pricing'!$E$2:$E$52,MATCH(B300,'Model Pricing'!$A$2:$A$52,0)),"")</f>
        <v/>
      </c>
      <c r="F300" s="10" t="str">
        <f aca="false">IFERROR(INDEX('Model Pricing'!$O$2:$O$52,MATCH(B300,'Model Pricing'!$A$2:$A$52,0)),"")</f>
        <v/>
      </c>
      <c r="G300" s="10" t="n">
        <f aca="false">IFERROR(C300*D300,"")</f>
        <v>0</v>
      </c>
      <c r="H300" s="10" t="str">
        <f aca="false">IFERROR(C300*F300,"")</f>
        <v/>
      </c>
      <c r="I300" s="10" t="str">
        <f aca="false">IFERROR(G300-H300,"")</f>
        <v/>
      </c>
      <c r="J300" s="21"/>
    </row>
    <row r="301" customFormat="false" ht="15" hidden="false" customHeight="true" outlineLevel="0" collapsed="false">
      <c r="A301" s="20"/>
      <c r="B301" s="21"/>
      <c r="C301" s="21"/>
      <c r="D301" s="21"/>
      <c r="E301" s="10" t="str">
        <f aca="false">IFERROR(INDEX('Model Pricing'!$E$2:$E$52,MATCH(B301,'Model Pricing'!$A$2:$A$52,0)),"")</f>
        <v/>
      </c>
      <c r="F301" s="10" t="str">
        <f aca="false">IFERROR(INDEX('Model Pricing'!$O$2:$O$52,MATCH(B301,'Model Pricing'!$A$2:$A$52,0)),"")</f>
        <v/>
      </c>
      <c r="G301" s="10" t="n">
        <f aca="false">IFERROR(C301*D301,"")</f>
        <v>0</v>
      </c>
      <c r="H301" s="10" t="str">
        <f aca="false">IFERROR(C301*F301,"")</f>
        <v/>
      </c>
      <c r="I301" s="10" t="str">
        <f aca="false">IFERROR(G301-H301,"")</f>
        <v/>
      </c>
      <c r="J301" s="21"/>
    </row>
    <row r="302" customFormat="false" ht="15" hidden="false" customHeight="true" outlineLevel="0" collapsed="false">
      <c r="A302" s="20"/>
      <c r="B302" s="21"/>
      <c r="C302" s="21"/>
      <c r="D302" s="21"/>
      <c r="E302" s="10" t="str">
        <f aca="false">IFERROR(INDEX('Model Pricing'!$E$2:$E$52,MATCH(B302,'Model Pricing'!$A$2:$A$52,0)),"")</f>
        <v/>
      </c>
      <c r="F302" s="10" t="str">
        <f aca="false">IFERROR(INDEX('Model Pricing'!$O$2:$O$52,MATCH(B302,'Model Pricing'!$A$2:$A$52,0)),"")</f>
        <v/>
      </c>
      <c r="G302" s="10" t="n">
        <f aca="false">IFERROR(C302*D302,"")</f>
        <v>0</v>
      </c>
      <c r="H302" s="10" t="str">
        <f aca="false">IFERROR(C302*F302,"")</f>
        <v/>
      </c>
      <c r="I302" s="10" t="str">
        <f aca="false">IFERROR(G302-H302,"")</f>
        <v/>
      </c>
      <c r="J302" s="21"/>
    </row>
    <row r="305" customFormat="false" ht="15" hidden="false" customHeight="true" outlineLevel="0" collapsed="false">
      <c r="A305" s="22" t="s">
        <v>37</v>
      </c>
    </row>
    <row r="306" customFormat="false" ht="15" hidden="false" customHeight="false" outlineLevel="0" collapsed="false">
      <c r="A306" s="1" t="s">
        <v>38</v>
      </c>
      <c r="B306" s="1" t="s">
        <v>39</v>
      </c>
      <c r="C306" s="1" t="s">
        <v>40</v>
      </c>
      <c r="D306" s="1" t="s">
        <v>41</v>
      </c>
      <c r="G306" s="1" t="s">
        <v>42</v>
      </c>
    </row>
    <row r="307" customFormat="false" ht="15" hidden="false" customHeight="false" outlineLevel="0" collapsed="false">
      <c r="A307" s="1" t="s">
        <v>43</v>
      </c>
      <c r="B307" s="1" t="s">
        <v>39</v>
      </c>
      <c r="C307" s="1" t="s">
        <v>40</v>
      </c>
      <c r="D307" s="1" t="s">
        <v>41</v>
      </c>
    </row>
  </sheetData>
  <dataValidations count="1">
    <dataValidation allowBlank="true" errorStyle="stop" operator="between" showDropDown="false" showErrorMessage="false" showInputMessage="false" sqref="B2:B302" type="list">
      <formula1>'Model Pricing'!$A$2:$A$52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59669"/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27.75" hidden="false" customHeight="true" outlineLevel="0" collapsed="false">
      <c r="A1" s="16" t="s">
        <v>26</v>
      </c>
      <c r="B1" s="16" t="s">
        <v>44</v>
      </c>
      <c r="C1" s="16" t="s">
        <v>30</v>
      </c>
      <c r="D1" s="16" t="s">
        <v>45</v>
      </c>
      <c r="E1" s="16" t="s">
        <v>46</v>
      </c>
      <c r="F1" s="16" t="s">
        <v>47</v>
      </c>
    </row>
    <row r="2" customFormat="false" ht="15" hidden="false" customHeight="true" outlineLevel="0" collapsed="false">
      <c r="A2" s="23" t="str">
        <f aca="false">'Model Pricing'!A2</f>
        <v>C 300 Sedan</v>
      </c>
      <c r="B2" s="24" t="n">
        <v>0</v>
      </c>
      <c r="C2" s="25" t="n">
        <f aca="false">'Model Pricing'!O2</f>
        <v>43692</v>
      </c>
      <c r="D2" s="25" t="n">
        <f aca="false">B2*C2</f>
        <v>0</v>
      </c>
      <c r="E2" s="24" t="n">
        <v>2</v>
      </c>
      <c r="F2" s="23" t="str">
        <f aca="false">IF(B2&lt;=E2,"Reorder","OK")</f>
        <v>Reorder</v>
      </c>
    </row>
    <row r="3" customFormat="false" ht="15" hidden="false" customHeight="true" outlineLevel="0" collapsed="false">
      <c r="A3" s="9" t="str">
        <f aca="false">'Model Pricing'!A3</f>
        <v>C 300 4MATIC Sedan</v>
      </c>
      <c r="B3" s="21" t="n">
        <v>0</v>
      </c>
      <c r="C3" s="10" t="n">
        <f aca="false">'Model Pricing'!O3</f>
        <v>45452</v>
      </c>
      <c r="D3" s="10" t="n">
        <f aca="false">B3*C3</f>
        <v>0</v>
      </c>
      <c r="E3" s="21" t="n">
        <v>2</v>
      </c>
      <c r="F3" s="9" t="str">
        <f aca="false">IF(B3&lt;=E3,"Reorder","OK")</f>
        <v>Reorder</v>
      </c>
    </row>
    <row r="4" customFormat="false" ht="15" hidden="false" customHeight="true" outlineLevel="0" collapsed="false">
      <c r="A4" s="23" t="str">
        <f aca="false">'Model Pricing'!A4</f>
        <v>AMG C 43 Sedan</v>
      </c>
      <c r="B4" s="24" t="n">
        <v>0</v>
      </c>
      <c r="C4" s="25" t="n">
        <f aca="false">'Model Pricing'!O4</f>
        <v>56452</v>
      </c>
      <c r="D4" s="25" t="n">
        <f aca="false">B4*C4</f>
        <v>0</v>
      </c>
      <c r="E4" s="24" t="n">
        <v>2</v>
      </c>
      <c r="F4" s="23" t="str">
        <f aca="false">IF(B4&lt;=E4,"Reorder","OK")</f>
        <v>Reorder</v>
      </c>
    </row>
    <row r="5" customFormat="false" ht="15" hidden="false" customHeight="true" outlineLevel="0" collapsed="false">
      <c r="A5" s="9" t="str">
        <f aca="false">'Model Pricing'!A5</f>
        <v>AMG C 63 S E PERFORMANCE Sedan</v>
      </c>
      <c r="B5" s="21" t="n">
        <v>0</v>
      </c>
      <c r="C5" s="10" t="n">
        <f aca="false">'Model Pricing'!O5</f>
        <v>77440</v>
      </c>
      <c r="D5" s="10" t="n">
        <f aca="false">B5*C5</f>
        <v>0</v>
      </c>
      <c r="E5" s="21" t="n">
        <v>2</v>
      </c>
      <c r="F5" s="9" t="str">
        <f aca="false">IF(B5&lt;=E5,"Reorder","OK")</f>
        <v>Reorder</v>
      </c>
    </row>
    <row r="6" customFormat="false" ht="15" hidden="false" customHeight="true" outlineLevel="0" collapsed="false">
      <c r="A6" s="23" t="str">
        <f aca="false">'Model Pricing'!A6</f>
        <v>E 350 Sedan</v>
      </c>
      <c r="B6" s="24" t="n">
        <v>0</v>
      </c>
      <c r="C6" s="25" t="n">
        <f aca="false">'Model Pricing'!O6</f>
        <v>57376</v>
      </c>
      <c r="D6" s="25" t="n">
        <f aca="false">B6*C6</f>
        <v>0</v>
      </c>
      <c r="E6" s="24" t="n">
        <v>2</v>
      </c>
      <c r="F6" s="23" t="str">
        <f aca="false">IF(B6&lt;=E6,"Reorder","OK")</f>
        <v>Reorder</v>
      </c>
    </row>
    <row r="7" customFormat="false" ht="15" hidden="false" customHeight="true" outlineLevel="0" collapsed="false">
      <c r="A7" s="9" t="str">
        <f aca="false">'Model Pricing'!A7</f>
        <v>E 350 4MATIC Sedan</v>
      </c>
      <c r="B7" s="21" t="n">
        <v>0</v>
      </c>
      <c r="C7" s="10" t="n">
        <f aca="false">'Model Pricing'!O7</f>
        <v>59576</v>
      </c>
      <c r="D7" s="10" t="n">
        <f aca="false">B7*C7</f>
        <v>0</v>
      </c>
      <c r="E7" s="21" t="n">
        <v>2</v>
      </c>
      <c r="F7" s="9" t="str">
        <f aca="false">IF(B7&lt;=E7,"Reorder","OK")</f>
        <v>Reorder</v>
      </c>
    </row>
    <row r="8" customFormat="false" ht="15" hidden="false" customHeight="true" outlineLevel="0" collapsed="false">
      <c r="A8" s="23" t="str">
        <f aca="false">'Model Pricing'!A8</f>
        <v>E 450 4MATIC Sedan</v>
      </c>
      <c r="B8" s="24" t="n">
        <v>0</v>
      </c>
      <c r="C8" s="25" t="n">
        <f aca="false">'Model Pricing'!O8</f>
        <v>64856</v>
      </c>
      <c r="D8" s="25" t="n">
        <f aca="false">B8*C8</f>
        <v>0</v>
      </c>
      <c r="E8" s="24" t="n">
        <v>2</v>
      </c>
      <c r="F8" s="23" t="str">
        <f aca="false">IF(B8&lt;=E8,"Reorder","OK")</f>
        <v>Reorder</v>
      </c>
    </row>
    <row r="9" customFormat="false" ht="15" hidden="false" customHeight="true" outlineLevel="0" collapsed="false">
      <c r="A9" s="9" t="str">
        <f aca="false">'Model Pricing'!A9</f>
        <v>AMG E 53 HYBRID Sedan</v>
      </c>
      <c r="B9" s="21" t="n">
        <v>0</v>
      </c>
      <c r="C9" s="10" t="n">
        <f aca="false">'Model Pricing'!O9</f>
        <v>80168</v>
      </c>
      <c r="D9" s="10" t="n">
        <f aca="false">B9*C9</f>
        <v>0</v>
      </c>
      <c r="E9" s="21" t="n">
        <v>2</v>
      </c>
      <c r="F9" s="9" t="str">
        <f aca="false">IF(B9&lt;=E9,"Reorder","OK")</f>
        <v>Reorder</v>
      </c>
    </row>
    <row r="10" customFormat="false" ht="15" hidden="false" customHeight="true" outlineLevel="0" collapsed="false">
      <c r="A10" s="23" t="str">
        <f aca="false">'Model Pricing'!A10</f>
        <v>S 500 4MATIC Sedan</v>
      </c>
      <c r="B10" s="24" t="n">
        <v>0</v>
      </c>
      <c r="C10" s="25" t="n">
        <f aca="false">'Model Pricing'!O10</f>
        <v>103224</v>
      </c>
      <c r="D10" s="25" t="n">
        <f aca="false">B10*C10</f>
        <v>0</v>
      </c>
      <c r="E10" s="24" t="n">
        <v>2</v>
      </c>
      <c r="F10" s="23" t="str">
        <f aca="false">IF(B10&lt;=E10,"Reorder","OK")</f>
        <v>Reorder</v>
      </c>
    </row>
    <row r="11" customFormat="false" ht="15" hidden="false" customHeight="true" outlineLevel="0" collapsed="false">
      <c r="A11" s="9" t="str">
        <f aca="false">'Model Pricing'!A11</f>
        <v>S 580 4MATIC Sedan</v>
      </c>
      <c r="B11" s="21" t="n">
        <v>0</v>
      </c>
      <c r="C11" s="10" t="n">
        <f aca="false">'Model Pricing'!O11</f>
        <v>112772</v>
      </c>
      <c r="D11" s="10" t="n">
        <f aca="false">B11*C11</f>
        <v>0</v>
      </c>
      <c r="E11" s="21" t="n">
        <v>2</v>
      </c>
      <c r="F11" s="9" t="str">
        <f aca="false">IF(B11&lt;=E11,"Reorder","OK")</f>
        <v>Reorder</v>
      </c>
    </row>
    <row r="12" customFormat="false" ht="15" hidden="false" customHeight="true" outlineLevel="0" collapsed="false">
      <c r="A12" s="23" t="str">
        <f aca="false">'Model Pricing'!A12</f>
        <v>S 580e 4MATIC Sedan</v>
      </c>
      <c r="B12" s="24" t="n">
        <v>0</v>
      </c>
      <c r="C12" s="25" t="n">
        <f aca="false">'Model Pricing'!O12</f>
        <v>112420</v>
      </c>
      <c r="D12" s="25" t="n">
        <f aca="false">B12*C12</f>
        <v>0</v>
      </c>
      <c r="E12" s="24" t="n">
        <v>2</v>
      </c>
      <c r="F12" s="23" t="str">
        <f aca="false">IF(B12&lt;=E12,"Reorder","OK")</f>
        <v>Reorder</v>
      </c>
    </row>
    <row r="13" customFormat="false" ht="15" hidden="false" customHeight="true" outlineLevel="0" collapsed="false">
      <c r="A13" s="9" t="str">
        <f aca="false">'Model Pricing'!A13</f>
        <v>Maybach S 580 4MATIC</v>
      </c>
      <c r="B13" s="21" t="n">
        <v>0</v>
      </c>
      <c r="C13" s="10" t="n">
        <f aca="false">'Model Pricing'!O13</f>
        <v>174504</v>
      </c>
      <c r="D13" s="10" t="n">
        <f aca="false">B13*C13</f>
        <v>0</v>
      </c>
      <c r="E13" s="21" t="n">
        <v>2</v>
      </c>
      <c r="F13" s="9" t="str">
        <f aca="false">IF(B13&lt;=E13,"Reorder","OK")</f>
        <v>Reorder</v>
      </c>
    </row>
    <row r="14" customFormat="false" ht="15" hidden="false" customHeight="true" outlineLevel="0" collapsed="false">
      <c r="A14" s="23" t="str">
        <f aca="false">'Model Pricing'!A14</f>
        <v>Maybach S 680 4MATIC</v>
      </c>
      <c r="B14" s="24" t="n">
        <v>0</v>
      </c>
      <c r="C14" s="25" t="n">
        <f aca="false">'Model Pricing'!O14</f>
        <v>206800</v>
      </c>
      <c r="D14" s="25" t="n">
        <f aca="false">B14*C14</f>
        <v>0</v>
      </c>
      <c r="E14" s="24" t="n">
        <v>2</v>
      </c>
      <c r="F14" s="23" t="str">
        <f aca="false">IF(B14&lt;=E14,"Reorder","OK")</f>
        <v>Reorder</v>
      </c>
    </row>
    <row r="15" customFormat="false" ht="15" hidden="false" customHeight="true" outlineLevel="0" collapsed="false">
      <c r="A15" s="9" t="str">
        <f aca="false">'Model Pricing'!A15</f>
        <v>CLA 250 Coupe</v>
      </c>
      <c r="B15" s="21" t="n">
        <v>0</v>
      </c>
      <c r="C15" s="10" t="n">
        <f aca="false">'Model Pricing'!O15</f>
        <v>38016</v>
      </c>
      <c r="D15" s="10" t="n">
        <f aca="false">B15*C15</f>
        <v>0</v>
      </c>
      <c r="E15" s="21" t="n">
        <v>2</v>
      </c>
      <c r="F15" s="9" t="str">
        <f aca="false">IF(B15&lt;=E15,"Reorder","OK")</f>
        <v>Reorder</v>
      </c>
    </row>
    <row r="16" customFormat="false" ht="15" hidden="false" customHeight="true" outlineLevel="0" collapsed="false">
      <c r="A16" s="23" t="str">
        <f aca="false">'Model Pricing'!A16</f>
        <v>AMG CLA 45 S Coupe</v>
      </c>
      <c r="B16" s="24" t="n">
        <v>0</v>
      </c>
      <c r="C16" s="25" t="n">
        <f aca="false">'Model Pricing'!O16</f>
        <v>58960</v>
      </c>
      <c r="D16" s="25" t="n">
        <f aca="false">B16*C16</f>
        <v>0</v>
      </c>
      <c r="E16" s="24" t="n">
        <v>2</v>
      </c>
      <c r="F16" s="23" t="str">
        <f aca="false">IF(B16&lt;=E16,"Reorder","OK")</f>
        <v>Reorder</v>
      </c>
    </row>
    <row r="17" customFormat="false" ht="15" hidden="false" customHeight="true" outlineLevel="0" collapsed="false">
      <c r="A17" s="9" t="str">
        <f aca="false">'Model Pricing'!A17</f>
        <v>EQE 350+ Sedan</v>
      </c>
      <c r="B17" s="21" t="n">
        <v>0</v>
      </c>
      <c r="C17" s="10" t="n">
        <f aca="false">'Model Pricing'!O17</f>
        <v>65912</v>
      </c>
      <c r="D17" s="10" t="n">
        <f aca="false">B17*C17</f>
        <v>0</v>
      </c>
      <c r="E17" s="21" t="n">
        <v>2</v>
      </c>
      <c r="F17" s="9" t="str">
        <f aca="false">IF(B17&lt;=E17,"Reorder","OK")</f>
        <v>Reorder</v>
      </c>
    </row>
    <row r="18" customFormat="false" ht="15" hidden="false" customHeight="true" outlineLevel="0" collapsed="false">
      <c r="A18" s="23" t="str">
        <f aca="false">'Model Pricing'!A18</f>
        <v>EQE 350 4MATIC Sedan</v>
      </c>
      <c r="B18" s="24" t="n">
        <v>0</v>
      </c>
      <c r="C18" s="25" t="n">
        <f aca="false">'Model Pricing'!O18</f>
        <v>68552</v>
      </c>
      <c r="D18" s="25" t="n">
        <f aca="false">B18*C18</f>
        <v>0</v>
      </c>
      <c r="E18" s="24" t="n">
        <v>2</v>
      </c>
      <c r="F18" s="23" t="str">
        <f aca="false">IF(B18&lt;=E18,"Reorder","OK")</f>
        <v>Reorder</v>
      </c>
    </row>
    <row r="19" customFormat="false" ht="15" hidden="false" customHeight="true" outlineLevel="0" collapsed="false">
      <c r="A19" s="9" t="str">
        <f aca="false">'Model Pricing'!A19</f>
        <v>AMG EQE Sedan</v>
      </c>
      <c r="B19" s="21" t="n">
        <v>0</v>
      </c>
      <c r="C19" s="10" t="n">
        <f aca="false">'Model Pricing'!O19</f>
        <v>94072</v>
      </c>
      <c r="D19" s="10" t="n">
        <f aca="false">B19*C19</f>
        <v>0</v>
      </c>
      <c r="E19" s="21" t="n">
        <v>2</v>
      </c>
      <c r="F19" s="9" t="str">
        <f aca="false">IF(B19&lt;=E19,"Reorder","OK")</f>
        <v>Reorder</v>
      </c>
    </row>
    <row r="20" customFormat="false" ht="15" hidden="false" customHeight="true" outlineLevel="0" collapsed="false">
      <c r="A20" s="23" t="str">
        <f aca="false">'Model Pricing'!A20</f>
        <v>EQS 450+ Sedan</v>
      </c>
      <c r="B20" s="24" t="n">
        <v>0</v>
      </c>
      <c r="C20" s="25" t="n">
        <f aca="false">'Model Pricing'!O20</f>
        <v>91872</v>
      </c>
      <c r="D20" s="25" t="n">
        <f aca="false">B20*C20</f>
        <v>0</v>
      </c>
      <c r="E20" s="24" t="n">
        <v>2</v>
      </c>
      <c r="F20" s="23" t="str">
        <f aca="false">IF(B20&lt;=E20,"Reorder","OK")</f>
        <v>Reorder</v>
      </c>
    </row>
    <row r="21" customFormat="false" ht="15" hidden="false" customHeight="true" outlineLevel="0" collapsed="false">
      <c r="A21" s="9" t="str">
        <f aca="false">'Model Pricing'!A21</f>
        <v>EQS 580 4MATIC Sedan</v>
      </c>
      <c r="B21" s="21" t="n">
        <v>0</v>
      </c>
      <c r="C21" s="10" t="n">
        <f aca="false">'Model Pricing'!O21</f>
        <v>112068</v>
      </c>
      <c r="D21" s="10" t="n">
        <f aca="false">B21*C21</f>
        <v>0</v>
      </c>
      <c r="E21" s="21" t="n">
        <v>2</v>
      </c>
      <c r="F21" s="9" t="str">
        <f aca="false">IF(B21&lt;=E21,"Reorder","OK")</f>
        <v>Reorder</v>
      </c>
    </row>
    <row r="22" customFormat="false" ht="15" hidden="false" customHeight="true" outlineLevel="0" collapsed="false">
      <c r="A22" s="23" t="str">
        <f aca="false">'Model Pricing'!A22</f>
        <v>GLA 250 SUV</v>
      </c>
      <c r="B22" s="24" t="n">
        <v>0</v>
      </c>
      <c r="C22" s="25" t="n">
        <f aca="false">'Model Pricing'!O22</f>
        <v>36828</v>
      </c>
      <c r="D22" s="25" t="n">
        <f aca="false">B22*C22</f>
        <v>0</v>
      </c>
      <c r="E22" s="24" t="n">
        <v>2</v>
      </c>
      <c r="F22" s="23" t="str">
        <f aca="false">IF(B22&lt;=E22,"Reorder","OK")</f>
        <v>Reorder</v>
      </c>
    </row>
    <row r="23" customFormat="false" ht="15" hidden="false" customHeight="true" outlineLevel="0" collapsed="false">
      <c r="A23" s="9" t="str">
        <f aca="false">'Model Pricing'!A23</f>
        <v>GLB 250 SUV</v>
      </c>
      <c r="B23" s="21" t="n">
        <v>0</v>
      </c>
      <c r="C23" s="10" t="n">
        <f aca="false">'Model Pricing'!O23</f>
        <v>39116</v>
      </c>
      <c r="D23" s="10" t="n">
        <f aca="false">B23*C23</f>
        <v>0</v>
      </c>
      <c r="E23" s="21" t="n">
        <v>2</v>
      </c>
      <c r="F23" s="9" t="str">
        <f aca="false">IF(B23&lt;=E23,"Reorder","OK")</f>
        <v>Reorder</v>
      </c>
    </row>
    <row r="24" customFormat="false" ht="15" hidden="false" customHeight="true" outlineLevel="0" collapsed="false">
      <c r="A24" s="23" t="str">
        <f aca="false">'Model Pricing'!A24</f>
        <v>AMG GLB 35 SUV</v>
      </c>
      <c r="B24" s="24" t="n">
        <v>0</v>
      </c>
      <c r="C24" s="25" t="n">
        <f aca="false">'Model Pricing'!O24</f>
        <v>53328</v>
      </c>
      <c r="D24" s="25" t="n">
        <f aca="false">B24*C24</f>
        <v>0</v>
      </c>
      <c r="E24" s="24" t="n">
        <v>2</v>
      </c>
      <c r="F24" s="23" t="str">
        <f aca="false">IF(B24&lt;=E24,"Reorder","OK")</f>
        <v>Reorder</v>
      </c>
    </row>
    <row r="25" customFormat="false" ht="15" hidden="false" customHeight="true" outlineLevel="0" collapsed="false">
      <c r="A25" s="9" t="str">
        <f aca="false">'Model Pricing'!A25</f>
        <v>GLC 300 SUV</v>
      </c>
      <c r="B25" s="21" t="n">
        <v>0</v>
      </c>
      <c r="C25" s="10" t="n">
        <f aca="false">'Model Pricing'!O25</f>
        <v>42768</v>
      </c>
      <c r="D25" s="10" t="n">
        <f aca="false">B25*C25</f>
        <v>0</v>
      </c>
      <c r="E25" s="21" t="n">
        <v>2</v>
      </c>
      <c r="F25" s="9" t="str">
        <f aca="false">IF(B25&lt;=E25,"Reorder","OK")</f>
        <v>Reorder</v>
      </c>
    </row>
    <row r="26" customFormat="false" ht="15" hidden="false" customHeight="true" outlineLevel="0" collapsed="false">
      <c r="A26" s="23" t="str">
        <f aca="false">'Model Pricing'!A26</f>
        <v>GLC 300 4MATIC SUV</v>
      </c>
      <c r="B26" s="24" t="n">
        <v>0</v>
      </c>
      <c r="C26" s="25" t="n">
        <f aca="false">'Model Pricing'!O26</f>
        <v>44528</v>
      </c>
      <c r="D26" s="25" t="n">
        <f aca="false">B26*C26</f>
        <v>0</v>
      </c>
      <c r="E26" s="24" t="n">
        <v>2</v>
      </c>
      <c r="F26" s="23" t="str">
        <f aca="false">IF(B26&lt;=E26,"Reorder","OK")</f>
        <v>Reorder</v>
      </c>
    </row>
    <row r="27" customFormat="false" ht="15" hidden="false" customHeight="true" outlineLevel="0" collapsed="false">
      <c r="A27" s="9" t="str">
        <f aca="false">'Model Pricing'!A27</f>
        <v>GLC 350e 4MATIC SUV</v>
      </c>
      <c r="B27" s="21" t="n">
        <v>0</v>
      </c>
      <c r="C27" s="10" t="n">
        <f aca="false">'Model Pricing'!O27</f>
        <v>52712</v>
      </c>
      <c r="D27" s="10" t="n">
        <f aca="false">B27*C27</f>
        <v>0</v>
      </c>
      <c r="E27" s="21" t="n">
        <v>2</v>
      </c>
      <c r="F27" s="9" t="str">
        <f aca="false">IF(B27&lt;=E27,"Reorder","OK")</f>
        <v>Reorder</v>
      </c>
    </row>
    <row r="28" customFormat="false" ht="15" hidden="false" customHeight="true" outlineLevel="0" collapsed="false">
      <c r="A28" s="23" t="str">
        <f aca="false">'Model Pricing'!A28</f>
        <v>AMG GLC 43 SUV</v>
      </c>
      <c r="B28" s="24" t="n">
        <v>0</v>
      </c>
      <c r="C28" s="25" t="n">
        <f aca="false">'Model Pricing'!O28</f>
        <v>57156</v>
      </c>
      <c r="D28" s="25" t="n">
        <f aca="false">B28*C28</f>
        <v>0</v>
      </c>
      <c r="E28" s="24" t="n">
        <v>2</v>
      </c>
      <c r="F28" s="23" t="str">
        <f aca="false">IF(B28&lt;=E28,"Reorder","OK")</f>
        <v>Reorder</v>
      </c>
    </row>
    <row r="29" customFormat="false" ht="15" hidden="false" customHeight="true" outlineLevel="0" collapsed="false">
      <c r="A29" s="9" t="str">
        <f aca="false">'Model Pricing'!A29</f>
        <v>EQB 250+ SUV</v>
      </c>
      <c r="B29" s="21" t="n">
        <v>0</v>
      </c>
      <c r="C29" s="10" t="n">
        <f aca="false">'Model Pricing'!O29</f>
        <v>46684</v>
      </c>
      <c r="D29" s="10" t="n">
        <f aca="false">B29*C29</f>
        <v>0</v>
      </c>
      <c r="E29" s="21" t="n">
        <v>2</v>
      </c>
      <c r="F29" s="9" t="str">
        <f aca="false">IF(B29&lt;=E29,"Reorder","OK")</f>
        <v>Reorder</v>
      </c>
    </row>
    <row r="30" customFormat="false" ht="15" hidden="false" customHeight="true" outlineLevel="0" collapsed="false">
      <c r="A30" s="23" t="str">
        <f aca="false">'Model Pricing'!A30</f>
        <v>EQB 300 4MATIC SUV</v>
      </c>
      <c r="B30" s="24" t="n">
        <v>0</v>
      </c>
      <c r="C30" s="25" t="n">
        <f aca="false">'Model Pricing'!O30</f>
        <v>50336</v>
      </c>
      <c r="D30" s="25" t="n">
        <f aca="false">B30*C30</f>
        <v>0</v>
      </c>
      <c r="E30" s="24" t="n">
        <v>2</v>
      </c>
      <c r="F30" s="23" t="str">
        <f aca="false">IF(B30&lt;=E30,"Reorder","OK")</f>
        <v>Reorder</v>
      </c>
    </row>
    <row r="31" customFormat="false" ht="15" hidden="false" customHeight="true" outlineLevel="0" collapsed="false">
      <c r="A31" s="9" t="str">
        <f aca="false">'Model Pricing'!A31</f>
        <v>GLE 350 4MATIC SUV</v>
      </c>
      <c r="B31" s="21" t="n">
        <v>0</v>
      </c>
      <c r="C31" s="10" t="n">
        <f aca="false">'Model Pricing'!O31</f>
        <v>56628</v>
      </c>
      <c r="D31" s="10" t="n">
        <f aca="false">B31*C31</f>
        <v>0</v>
      </c>
      <c r="E31" s="21" t="n">
        <v>2</v>
      </c>
      <c r="F31" s="9" t="str">
        <f aca="false">IF(B31&lt;=E31,"Reorder","OK")</f>
        <v>Reorder</v>
      </c>
    </row>
    <row r="32" customFormat="false" ht="15" hidden="false" customHeight="true" outlineLevel="0" collapsed="false">
      <c r="A32" s="23" t="str">
        <f aca="false">'Model Pricing'!A32</f>
        <v>GLE 450 4MATIC SUV</v>
      </c>
      <c r="B32" s="24" t="n">
        <v>0</v>
      </c>
      <c r="C32" s="25" t="n">
        <f aca="false">'Model Pricing'!O32</f>
        <v>62788</v>
      </c>
      <c r="D32" s="25" t="n">
        <f aca="false">B32*C32</f>
        <v>0</v>
      </c>
      <c r="E32" s="24" t="n">
        <v>2</v>
      </c>
      <c r="F32" s="23" t="str">
        <f aca="false">IF(B32&lt;=E32,"Reorder","OK")</f>
        <v>Reorder</v>
      </c>
    </row>
    <row r="33" customFormat="false" ht="15" hidden="false" customHeight="true" outlineLevel="0" collapsed="false">
      <c r="A33" s="9" t="str">
        <f aca="false">'Model Pricing'!A33</f>
        <v>AMG GLE 53 SUV</v>
      </c>
      <c r="B33" s="21" t="n">
        <v>0</v>
      </c>
      <c r="C33" s="10" t="n">
        <f aca="false">'Model Pricing'!O33</f>
        <v>69036</v>
      </c>
      <c r="D33" s="10" t="n">
        <f aca="false">B33*C33</f>
        <v>0</v>
      </c>
      <c r="E33" s="21" t="n">
        <v>2</v>
      </c>
      <c r="F33" s="9" t="str">
        <f aca="false">IF(B33&lt;=E33,"Reorder","OK")</f>
        <v>Reorder</v>
      </c>
    </row>
    <row r="34" customFormat="false" ht="15" hidden="false" customHeight="true" outlineLevel="0" collapsed="false">
      <c r="A34" s="23" t="str">
        <f aca="false">'Model Pricing'!A34</f>
        <v>AMG GLE 63 S SUV</v>
      </c>
      <c r="B34" s="24" t="n">
        <v>0</v>
      </c>
      <c r="C34" s="25" t="n">
        <f aca="false">'Model Pricing'!O34</f>
        <v>112816</v>
      </c>
      <c r="D34" s="25" t="n">
        <f aca="false">B34*C34</f>
        <v>0</v>
      </c>
      <c r="E34" s="24" t="n">
        <v>2</v>
      </c>
      <c r="F34" s="23" t="str">
        <f aca="false">IF(B34&lt;=E34,"Reorder","OK")</f>
        <v>Reorder</v>
      </c>
    </row>
    <row r="35" customFormat="false" ht="15" hidden="false" customHeight="true" outlineLevel="0" collapsed="false">
      <c r="A35" s="9" t="str">
        <f aca="false">'Model Pricing'!A35</f>
        <v>GLS 450 SUV</v>
      </c>
      <c r="B35" s="21" t="n">
        <v>0</v>
      </c>
      <c r="C35" s="10" t="n">
        <f aca="false">'Model Pricing'!O35</f>
        <v>76560</v>
      </c>
      <c r="D35" s="10" t="n">
        <f aca="false">B35*C35</f>
        <v>0</v>
      </c>
      <c r="E35" s="21" t="n">
        <v>2</v>
      </c>
      <c r="F35" s="9" t="str">
        <f aca="false">IF(B35&lt;=E35,"Reorder","OK")</f>
        <v>Reorder</v>
      </c>
    </row>
    <row r="36" customFormat="false" ht="15" hidden="false" customHeight="true" outlineLevel="0" collapsed="false">
      <c r="A36" s="23" t="str">
        <f aca="false">'Model Pricing'!A36</f>
        <v>GLS 580 SUV</v>
      </c>
      <c r="B36" s="24" t="n">
        <v>0</v>
      </c>
      <c r="C36" s="25" t="n">
        <f aca="false">'Model Pricing'!O36</f>
        <v>98824</v>
      </c>
      <c r="D36" s="25" t="n">
        <f aca="false">B36*C36</f>
        <v>0</v>
      </c>
      <c r="E36" s="24" t="n">
        <v>2</v>
      </c>
      <c r="F36" s="23" t="str">
        <f aca="false">IF(B36&lt;=E36,"Reorder","OK")</f>
        <v>Reorder</v>
      </c>
    </row>
    <row r="37" customFormat="false" ht="15" hidden="false" customHeight="true" outlineLevel="0" collapsed="false">
      <c r="A37" s="9" t="str">
        <f aca="false">'Model Pricing'!A37</f>
        <v>Maybach GLS 600 4MATIC</v>
      </c>
      <c r="B37" s="21" t="n">
        <v>0</v>
      </c>
      <c r="C37" s="10" t="n">
        <f aca="false">'Model Pricing'!O37</f>
        <v>157036</v>
      </c>
      <c r="D37" s="10" t="n">
        <f aca="false">B37*C37</f>
        <v>0</v>
      </c>
      <c r="E37" s="21" t="n">
        <v>2</v>
      </c>
      <c r="F37" s="9" t="str">
        <f aca="false">IF(B37&lt;=E37,"Reorder","OK")</f>
        <v>Reorder</v>
      </c>
    </row>
    <row r="38" customFormat="false" ht="15" hidden="false" customHeight="true" outlineLevel="0" collapsed="false">
      <c r="A38" s="23" t="str">
        <f aca="false">'Model Pricing'!A38</f>
        <v>EQE 350+ SUV</v>
      </c>
      <c r="B38" s="24" t="n">
        <v>0</v>
      </c>
      <c r="C38" s="25" t="n">
        <f aca="false">'Model Pricing'!O38</f>
        <v>68552</v>
      </c>
      <c r="D38" s="25" t="n">
        <f aca="false">B38*C38</f>
        <v>0</v>
      </c>
      <c r="E38" s="24" t="n">
        <v>2</v>
      </c>
      <c r="F38" s="23" t="str">
        <f aca="false">IF(B38&lt;=E38,"Reorder","OK")</f>
        <v>Reorder</v>
      </c>
    </row>
    <row r="39" customFormat="false" ht="15" hidden="false" customHeight="true" outlineLevel="0" collapsed="false">
      <c r="A39" s="9" t="str">
        <f aca="false">'Model Pricing'!A39</f>
        <v>EQS 450+ SUV</v>
      </c>
      <c r="B39" s="21" t="n">
        <v>0</v>
      </c>
      <c r="C39" s="10" t="n">
        <f aca="false">'Model Pricing'!O39</f>
        <v>91872</v>
      </c>
      <c r="D39" s="10" t="n">
        <f aca="false">B39*C39</f>
        <v>0</v>
      </c>
      <c r="E39" s="21" t="n">
        <v>2</v>
      </c>
      <c r="F39" s="9" t="str">
        <f aca="false">IF(B39&lt;=E39,"Reorder","OK")</f>
        <v>Reorder</v>
      </c>
    </row>
    <row r="40" customFormat="false" ht="15" hidden="false" customHeight="true" outlineLevel="0" collapsed="false">
      <c r="A40" s="23" t="str">
        <f aca="false">'Model Pricing'!A40</f>
        <v>Maybach EQS 680 SUV</v>
      </c>
      <c r="B40" s="24" t="n">
        <v>0</v>
      </c>
      <c r="C40" s="25" t="n">
        <f aca="false">'Model Pricing'!O40</f>
        <v>158312</v>
      </c>
      <c r="D40" s="25" t="n">
        <f aca="false">B40*C40</f>
        <v>0</v>
      </c>
      <c r="E40" s="24" t="n">
        <v>2</v>
      </c>
      <c r="F40" s="23" t="str">
        <f aca="false">IF(B40&lt;=E40,"Reorder","OK")</f>
        <v>Reorder</v>
      </c>
    </row>
    <row r="41" customFormat="false" ht="15" hidden="false" customHeight="true" outlineLevel="0" collapsed="false">
      <c r="A41" s="9" t="str">
        <f aca="false">'Model Pricing'!A41</f>
        <v>G 550 SUV</v>
      </c>
      <c r="B41" s="21" t="n">
        <v>0</v>
      </c>
      <c r="C41" s="10" t="n">
        <f aca="false">'Model Pricing'!O41</f>
        <v>125840</v>
      </c>
      <c r="D41" s="10" t="n">
        <f aca="false">B41*C41</f>
        <v>0</v>
      </c>
      <c r="E41" s="21" t="n">
        <v>2</v>
      </c>
      <c r="F41" s="9" t="str">
        <f aca="false">IF(B41&lt;=E41,"Reorder","OK")</f>
        <v>Reorder</v>
      </c>
    </row>
    <row r="42" customFormat="false" ht="15" hidden="false" customHeight="true" outlineLevel="0" collapsed="false">
      <c r="A42" s="23" t="str">
        <f aca="false">'Model Pricing'!A42</f>
        <v>AMG G 63 SUV</v>
      </c>
      <c r="B42" s="24" t="n">
        <v>0</v>
      </c>
      <c r="C42" s="25" t="n">
        <f aca="false">'Model Pricing'!O42</f>
        <v>161040</v>
      </c>
      <c r="D42" s="25" t="n">
        <f aca="false">B42*C42</f>
        <v>0</v>
      </c>
      <c r="E42" s="24" t="n">
        <v>2</v>
      </c>
      <c r="F42" s="23" t="str">
        <f aca="false">IF(B42&lt;=E42,"Reorder","OK")</f>
        <v>Reorder</v>
      </c>
    </row>
    <row r="43" customFormat="false" ht="15" hidden="false" customHeight="true" outlineLevel="0" collapsed="false">
      <c r="A43" s="9" t="str">
        <f aca="false">'Model Pricing'!A43</f>
        <v>CLE 300 4MATIC Coupe</v>
      </c>
      <c r="B43" s="21" t="n">
        <v>0</v>
      </c>
      <c r="C43" s="10" t="n">
        <f aca="false">'Model Pricing'!O43</f>
        <v>49720</v>
      </c>
      <c r="D43" s="10" t="n">
        <f aca="false">B43*C43</f>
        <v>0</v>
      </c>
      <c r="E43" s="21" t="n">
        <v>2</v>
      </c>
      <c r="F43" s="9" t="str">
        <f aca="false">IF(B43&lt;=E43,"Reorder","OK")</f>
        <v>Reorder</v>
      </c>
    </row>
    <row r="44" customFormat="false" ht="15" hidden="false" customHeight="true" outlineLevel="0" collapsed="false">
      <c r="A44" s="23" t="str">
        <f aca="false">'Model Pricing'!A44</f>
        <v>CLE 450 4MATIC Coupe</v>
      </c>
      <c r="B44" s="24" t="n">
        <v>0</v>
      </c>
      <c r="C44" s="25" t="n">
        <f aca="false">'Model Pricing'!O44</f>
        <v>57508</v>
      </c>
      <c r="D44" s="25" t="n">
        <f aca="false">B44*C44</f>
        <v>0</v>
      </c>
      <c r="E44" s="24" t="n">
        <v>2</v>
      </c>
      <c r="F44" s="23" t="str">
        <f aca="false">IF(B44&lt;=E44,"Reorder","OK")</f>
        <v>Reorder</v>
      </c>
    </row>
    <row r="45" customFormat="false" ht="15" hidden="false" customHeight="true" outlineLevel="0" collapsed="false">
      <c r="A45" s="9" t="str">
        <f aca="false">'Model Pricing'!A45</f>
        <v>AMG CLE 53 Coupe</v>
      </c>
      <c r="B45" s="21" t="n">
        <v>0</v>
      </c>
      <c r="C45" s="10" t="n">
        <f aca="false">'Model Pricing'!O45</f>
        <v>64064</v>
      </c>
      <c r="D45" s="10" t="n">
        <f aca="false">B45*C45</f>
        <v>0</v>
      </c>
      <c r="E45" s="21" t="n">
        <v>2</v>
      </c>
      <c r="F45" s="9" t="str">
        <f aca="false">IF(B45&lt;=E45,"Reorder","OK")</f>
        <v>Reorder</v>
      </c>
    </row>
    <row r="46" customFormat="false" ht="15" hidden="false" customHeight="true" outlineLevel="0" collapsed="false">
      <c r="A46" s="23" t="str">
        <f aca="false">'Model Pricing'!A46</f>
        <v>CLE 300 4MATIC Cabriolet</v>
      </c>
      <c r="B46" s="24" t="n">
        <v>0</v>
      </c>
      <c r="C46" s="25" t="n">
        <f aca="false">'Model Pricing'!O46</f>
        <v>56628</v>
      </c>
      <c r="D46" s="25" t="n">
        <f aca="false">B46*C46</f>
        <v>0</v>
      </c>
      <c r="E46" s="24" t="n">
        <v>2</v>
      </c>
      <c r="F46" s="23" t="str">
        <f aca="false">IF(B46&lt;=E46,"Reorder","OK")</f>
        <v>Reorder</v>
      </c>
    </row>
    <row r="47" customFormat="false" ht="15" hidden="false" customHeight="true" outlineLevel="0" collapsed="false">
      <c r="A47" s="9" t="str">
        <f aca="false">'Model Pricing'!A47</f>
        <v>AMG GT 43 Coupe</v>
      </c>
      <c r="B47" s="21" t="n">
        <v>0</v>
      </c>
      <c r="C47" s="10" t="n">
        <f aca="false">'Model Pricing'!O47</f>
        <v>93192</v>
      </c>
      <c r="D47" s="10" t="n">
        <f aca="false">B47*C47</f>
        <v>0</v>
      </c>
      <c r="E47" s="21" t="n">
        <v>2</v>
      </c>
      <c r="F47" s="9" t="str">
        <f aca="false">IF(B47&lt;=E47,"Reorder","OK")</f>
        <v>Reorder</v>
      </c>
    </row>
    <row r="48" customFormat="false" ht="15" hidden="false" customHeight="true" outlineLevel="0" collapsed="false">
      <c r="A48" s="23" t="str">
        <f aca="false">'Model Pricing'!A48</f>
        <v>AMG GT 55 Coupe</v>
      </c>
      <c r="B48" s="24" t="n">
        <v>0</v>
      </c>
      <c r="C48" s="25" t="n">
        <f aca="false">'Model Pricing'!O48</f>
        <v>118712</v>
      </c>
      <c r="D48" s="25" t="n">
        <f aca="false">B48*C48</f>
        <v>0</v>
      </c>
      <c r="E48" s="24" t="n">
        <v>2</v>
      </c>
      <c r="F48" s="23" t="str">
        <f aca="false">IF(B48&lt;=E48,"Reorder","OK")</f>
        <v>Reorder</v>
      </c>
    </row>
    <row r="49" customFormat="false" ht="15" hidden="false" customHeight="true" outlineLevel="0" collapsed="false">
      <c r="A49" s="9" t="str">
        <f aca="false">'Model Pricing'!A49</f>
        <v>AMG GT 63 Coupe</v>
      </c>
      <c r="B49" s="21" t="n">
        <v>0</v>
      </c>
      <c r="C49" s="10" t="n">
        <f aca="false">'Model Pricing'!O49</f>
        <v>154792</v>
      </c>
      <c r="D49" s="10" t="n">
        <f aca="false">B49*C49</f>
        <v>0</v>
      </c>
      <c r="E49" s="21" t="n">
        <v>2</v>
      </c>
      <c r="F49" s="9" t="str">
        <f aca="false">IF(B49&lt;=E49,"Reorder","OK")</f>
        <v>Reorder</v>
      </c>
    </row>
    <row r="50" customFormat="false" ht="15" hidden="false" customHeight="true" outlineLevel="0" collapsed="false">
      <c r="A50" s="23" t="str">
        <f aca="false">'Model Pricing'!A50</f>
        <v>AMG SL 43 Roadster</v>
      </c>
      <c r="B50" s="24" t="n">
        <v>0</v>
      </c>
      <c r="C50" s="25" t="n">
        <f aca="false">'Model Pricing'!O50</f>
        <v>96712</v>
      </c>
      <c r="D50" s="25" t="n">
        <f aca="false">B50*C50</f>
        <v>0</v>
      </c>
      <c r="E50" s="24" t="n">
        <v>2</v>
      </c>
      <c r="F50" s="23" t="str">
        <f aca="false">IF(B50&lt;=E50,"Reorder","OK")</f>
        <v>Reorder</v>
      </c>
    </row>
    <row r="51" customFormat="false" ht="15" hidden="false" customHeight="true" outlineLevel="0" collapsed="false">
      <c r="A51" s="9" t="str">
        <f aca="false">'Model Pricing'!A51</f>
        <v>AMG SL 55 Roadster</v>
      </c>
      <c r="B51" s="21" t="n">
        <v>0</v>
      </c>
      <c r="C51" s="10" t="n">
        <f aca="false">'Model Pricing'!O51</f>
        <v>124344</v>
      </c>
      <c r="D51" s="10" t="n">
        <f aca="false">B51*C51</f>
        <v>0</v>
      </c>
      <c r="E51" s="21" t="n">
        <v>2</v>
      </c>
      <c r="F51" s="9" t="str">
        <f aca="false">IF(B51&lt;=E51,"Reorder","OK")</f>
        <v>Reorder</v>
      </c>
    </row>
    <row r="52" customFormat="false" ht="15" hidden="false" customHeight="true" outlineLevel="0" collapsed="false">
      <c r="A52" s="23" t="str">
        <f aca="false">'Model Pricing'!A52</f>
        <v>AMG SL 63 Roadster</v>
      </c>
      <c r="B52" s="24" t="n">
        <v>0</v>
      </c>
      <c r="C52" s="25" t="n">
        <f aca="false">'Model Pricing'!O52</f>
        <v>161040</v>
      </c>
      <c r="D52" s="25" t="n">
        <f aca="false">B52*C52</f>
        <v>0</v>
      </c>
      <c r="E52" s="24" t="n">
        <v>2</v>
      </c>
      <c r="F52" s="23" t="str">
        <f aca="false">IF(B52&lt;=E52,"Reorder","OK")</f>
        <v>Reorder</v>
      </c>
    </row>
    <row r="53" customFormat="false" ht="15" hidden="false" customHeight="true" outlineLevel="0" collapsed="false">
      <c r="A53" s="3" t="s">
        <v>48</v>
      </c>
      <c r="D53" s="26" t="n">
        <f aca="false">SUM(D2:D52)</f>
        <v>0</v>
      </c>
    </row>
    <row r="55" customFormat="false" ht="15" hidden="false" customHeight="true" outlineLevel="0" collapsed="false">
      <c r="A55" s="2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7.38"/>
    <col collapsed="false" customWidth="true" hidden="false" outlineLevel="0" max="3" min="3" style="1" width="19.88"/>
    <col collapsed="false" customWidth="true" hidden="false" outlineLevel="0" max="4" min="4" style="1" width="19.38"/>
    <col collapsed="false" customWidth="true" hidden="false" outlineLevel="0" max="5" min="5" style="1" width="15.13"/>
    <col collapsed="false" customWidth="true" hidden="false" outlineLevel="0" max="6" min="6" style="1" width="27.63"/>
    <col collapsed="false" customWidth="true" hidden="false" outlineLevel="0" max="7" min="7" style="1" width="17.63"/>
    <col collapsed="false" customWidth="true" hidden="false" outlineLevel="0" max="8" min="8" style="1" width="39.25"/>
    <col collapsed="false" customWidth="true" hidden="false" outlineLevel="0" max="9" min="9" style="1" width="13.38"/>
    <col collapsed="false" customWidth="true" hidden="false" outlineLevel="0" max="10" min="10" style="1" width="10.51"/>
    <col collapsed="false" customWidth="true" hidden="false" outlineLevel="0" max="11" min="11" style="1" width="26.5"/>
    <col collapsed="false" customWidth="true" hidden="false" outlineLevel="0" max="12" min="12" style="1" width="12.25"/>
    <col collapsed="false" customWidth="true" hidden="false" outlineLevel="0" max="13" min="13" style="1" width="23.63"/>
    <col collapsed="false" customWidth="true" hidden="false" outlineLevel="0" max="14" min="14" style="1" width="13.63"/>
    <col collapsed="false" customWidth="true" hidden="false" outlineLevel="0" max="15" min="15" style="1" width="20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16" t="s">
        <v>26</v>
      </c>
      <c r="B1" s="16" t="s">
        <v>50</v>
      </c>
      <c r="C1" s="16" t="s">
        <v>51</v>
      </c>
      <c r="D1" s="16" t="s">
        <v>52</v>
      </c>
      <c r="E1" s="16" t="s">
        <v>53</v>
      </c>
      <c r="F1" s="16" t="s">
        <v>54</v>
      </c>
      <c r="G1" s="16" t="s">
        <v>55</v>
      </c>
      <c r="H1" s="16" t="s">
        <v>56</v>
      </c>
      <c r="I1" s="16" t="s">
        <v>57</v>
      </c>
      <c r="J1" s="16" t="s">
        <v>58</v>
      </c>
      <c r="K1" s="16" t="s">
        <v>59</v>
      </c>
      <c r="L1" s="16" t="s">
        <v>60</v>
      </c>
      <c r="M1" s="16" t="s">
        <v>61</v>
      </c>
      <c r="N1" s="16" t="s">
        <v>62</v>
      </c>
      <c r="O1" s="16" t="s">
        <v>63</v>
      </c>
      <c r="P1" s="27" t="n">
        <v>0.88</v>
      </c>
    </row>
    <row r="2" customFormat="false" ht="15.75" hidden="false" customHeight="true" outlineLevel="0" collapsed="false">
      <c r="A2" s="28" t="s">
        <v>64</v>
      </c>
      <c r="B2" s="28" t="s">
        <v>65</v>
      </c>
      <c r="C2" s="28" t="s">
        <v>66</v>
      </c>
      <c r="D2" s="28" t="s">
        <v>67</v>
      </c>
      <c r="E2" s="29" t="n">
        <v>49650</v>
      </c>
      <c r="F2" s="28" t="s">
        <v>68</v>
      </c>
      <c r="G2" s="28" t="s">
        <v>69</v>
      </c>
      <c r="H2" s="28" t="s">
        <v>70</v>
      </c>
      <c r="I2" s="28" t="s">
        <v>71</v>
      </c>
      <c r="J2" s="28" t="s">
        <v>72</v>
      </c>
      <c r="K2" s="28" t="s">
        <v>73</v>
      </c>
      <c r="L2" s="28" t="s">
        <v>74</v>
      </c>
      <c r="M2" s="28" t="s">
        <v>75</v>
      </c>
      <c r="N2" s="28" t="n">
        <v>5</v>
      </c>
      <c r="O2" s="25" t="n">
        <f aca="false">E2*$P$1</f>
        <v>43692</v>
      </c>
      <c r="P2" s="22" t="s">
        <v>76</v>
      </c>
    </row>
    <row r="3" customFormat="false" ht="15.75" hidden="false" customHeight="true" outlineLevel="0" collapsed="false">
      <c r="A3" s="28" t="s">
        <v>77</v>
      </c>
      <c r="B3" s="28" t="s">
        <v>65</v>
      </c>
      <c r="C3" s="28" t="s">
        <v>66</v>
      </c>
      <c r="D3" s="28" t="s">
        <v>67</v>
      </c>
      <c r="E3" s="29" t="n">
        <v>51650</v>
      </c>
      <c r="F3" s="28" t="s">
        <v>78</v>
      </c>
      <c r="G3" s="28" t="s">
        <v>69</v>
      </c>
      <c r="H3" s="28" t="s">
        <v>70</v>
      </c>
      <c r="I3" s="28" t="s">
        <v>71</v>
      </c>
      <c r="J3" s="28" t="s">
        <v>72</v>
      </c>
      <c r="K3" s="28" t="s">
        <v>73</v>
      </c>
      <c r="L3" s="28" t="s">
        <v>74</v>
      </c>
      <c r="M3" s="28" t="s">
        <v>79</v>
      </c>
      <c r="N3" s="28" t="n">
        <v>5</v>
      </c>
      <c r="O3" s="10" t="n">
        <f aca="false">E3*$P$1</f>
        <v>45452</v>
      </c>
    </row>
    <row r="4" customFormat="false" ht="15.75" hidden="false" customHeight="true" outlineLevel="0" collapsed="false">
      <c r="A4" s="28" t="s">
        <v>80</v>
      </c>
      <c r="B4" s="28" t="s">
        <v>65</v>
      </c>
      <c r="C4" s="28" t="s">
        <v>66</v>
      </c>
      <c r="D4" s="28" t="s">
        <v>81</v>
      </c>
      <c r="E4" s="29" t="n">
        <v>64150</v>
      </c>
      <c r="F4" s="28" t="s">
        <v>82</v>
      </c>
      <c r="G4" s="28" t="s">
        <v>69</v>
      </c>
      <c r="H4" s="28" t="s">
        <v>83</v>
      </c>
      <c r="I4" s="28" t="s">
        <v>84</v>
      </c>
      <c r="J4" s="28" t="s">
        <v>85</v>
      </c>
      <c r="K4" s="28" t="s">
        <v>86</v>
      </c>
      <c r="L4" s="28" t="s">
        <v>87</v>
      </c>
      <c r="M4" s="28" t="s">
        <v>88</v>
      </c>
      <c r="N4" s="28" t="n">
        <v>5</v>
      </c>
      <c r="O4" s="25" t="n">
        <f aca="false">E4*$P$1</f>
        <v>56452</v>
      </c>
    </row>
    <row r="5" customFormat="false" ht="15.75" hidden="false" customHeight="true" outlineLevel="0" collapsed="false">
      <c r="A5" s="28" t="s">
        <v>89</v>
      </c>
      <c r="B5" s="28" t="s">
        <v>65</v>
      </c>
      <c r="C5" s="28" t="s">
        <v>66</v>
      </c>
      <c r="D5" s="28" t="s">
        <v>81</v>
      </c>
      <c r="E5" s="29" t="n">
        <v>88000</v>
      </c>
      <c r="F5" s="28" t="s">
        <v>82</v>
      </c>
      <c r="G5" s="28" t="s">
        <v>90</v>
      </c>
      <c r="H5" s="28" t="s">
        <v>91</v>
      </c>
      <c r="I5" s="28" t="s">
        <v>92</v>
      </c>
      <c r="J5" s="28" t="s">
        <v>93</v>
      </c>
      <c r="K5" s="28" t="s">
        <v>86</v>
      </c>
      <c r="L5" s="28" t="s">
        <v>94</v>
      </c>
      <c r="M5" s="28" t="s">
        <v>95</v>
      </c>
      <c r="N5" s="28" t="n">
        <v>5</v>
      </c>
      <c r="O5" s="10" t="n">
        <f aca="false">E5*$P$1</f>
        <v>77440</v>
      </c>
    </row>
    <row r="6" customFormat="false" ht="15.75" hidden="false" customHeight="true" outlineLevel="0" collapsed="false">
      <c r="A6" s="28" t="s">
        <v>36</v>
      </c>
      <c r="B6" s="28" t="s">
        <v>96</v>
      </c>
      <c r="C6" s="28" t="s">
        <v>66</v>
      </c>
      <c r="D6" s="28" t="s">
        <v>67</v>
      </c>
      <c r="E6" s="29" t="n">
        <v>65200</v>
      </c>
      <c r="F6" s="28" t="s">
        <v>68</v>
      </c>
      <c r="G6" s="28" t="s">
        <v>69</v>
      </c>
      <c r="H6" s="28" t="s">
        <v>70</v>
      </c>
      <c r="I6" s="28" t="s">
        <v>71</v>
      </c>
      <c r="J6" s="28" t="s">
        <v>72</v>
      </c>
      <c r="K6" s="28" t="s">
        <v>73</v>
      </c>
      <c r="L6" s="28" t="s">
        <v>97</v>
      </c>
      <c r="M6" s="28" t="s">
        <v>98</v>
      </c>
      <c r="N6" s="28" t="n">
        <v>5</v>
      </c>
      <c r="O6" s="25" t="n">
        <f aca="false">E6*$P$1</f>
        <v>57376</v>
      </c>
    </row>
    <row r="7" customFormat="false" ht="15.75" hidden="false" customHeight="true" outlineLevel="0" collapsed="false">
      <c r="A7" s="28" t="s">
        <v>99</v>
      </c>
      <c r="B7" s="28" t="s">
        <v>96</v>
      </c>
      <c r="C7" s="28" t="s">
        <v>66</v>
      </c>
      <c r="D7" s="28" t="s">
        <v>67</v>
      </c>
      <c r="E7" s="29" t="n">
        <v>67700</v>
      </c>
      <c r="F7" s="28" t="s">
        <v>78</v>
      </c>
      <c r="G7" s="28" t="s">
        <v>69</v>
      </c>
      <c r="H7" s="28" t="s">
        <v>70</v>
      </c>
      <c r="I7" s="28" t="s">
        <v>71</v>
      </c>
      <c r="J7" s="28" t="s">
        <v>72</v>
      </c>
      <c r="K7" s="28" t="s">
        <v>73</v>
      </c>
      <c r="L7" s="28" t="s">
        <v>97</v>
      </c>
      <c r="M7" s="28" t="s">
        <v>98</v>
      </c>
      <c r="N7" s="28" t="n">
        <v>5</v>
      </c>
      <c r="O7" s="10" t="n">
        <f aca="false">E7*$P$1</f>
        <v>59576</v>
      </c>
    </row>
    <row r="8" customFormat="false" ht="15.75" hidden="false" customHeight="true" outlineLevel="0" collapsed="false">
      <c r="A8" s="28" t="s">
        <v>100</v>
      </c>
      <c r="B8" s="28" t="s">
        <v>96</v>
      </c>
      <c r="C8" s="28" t="s">
        <v>66</v>
      </c>
      <c r="D8" s="28" t="s">
        <v>67</v>
      </c>
      <c r="E8" s="29" t="n">
        <v>73700</v>
      </c>
      <c r="F8" s="28" t="s">
        <v>78</v>
      </c>
      <c r="G8" s="28" t="s">
        <v>69</v>
      </c>
      <c r="H8" s="28" t="s">
        <v>101</v>
      </c>
      <c r="I8" s="28" t="s">
        <v>102</v>
      </c>
      <c r="J8" s="28" t="s">
        <v>85</v>
      </c>
      <c r="K8" s="28" t="s">
        <v>73</v>
      </c>
      <c r="L8" s="28" t="s">
        <v>103</v>
      </c>
      <c r="M8" s="28" t="s">
        <v>104</v>
      </c>
      <c r="N8" s="28" t="n">
        <v>5</v>
      </c>
      <c r="O8" s="25" t="n">
        <f aca="false">E8*$P$1</f>
        <v>64856</v>
      </c>
    </row>
    <row r="9" customFormat="false" ht="15.75" hidden="false" customHeight="true" outlineLevel="0" collapsed="false">
      <c r="A9" s="28" t="s">
        <v>105</v>
      </c>
      <c r="B9" s="28" t="s">
        <v>96</v>
      </c>
      <c r="C9" s="28" t="s">
        <v>66</v>
      </c>
      <c r="D9" s="28" t="s">
        <v>81</v>
      </c>
      <c r="E9" s="29" t="n">
        <v>91100</v>
      </c>
      <c r="F9" s="28" t="s">
        <v>82</v>
      </c>
      <c r="G9" s="28" t="s">
        <v>90</v>
      </c>
      <c r="H9" s="28" t="s">
        <v>106</v>
      </c>
      <c r="I9" s="28" t="s">
        <v>107</v>
      </c>
      <c r="J9" s="28" t="s">
        <v>108</v>
      </c>
      <c r="K9" s="28" t="s">
        <v>109</v>
      </c>
      <c r="L9" s="28" t="s">
        <v>110</v>
      </c>
      <c r="M9" s="28" t="s">
        <v>111</v>
      </c>
      <c r="N9" s="28" t="n">
        <v>5</v>
      </c>
      <c r="O9" s="10" t="n">
        <f aca="false">E9*$P$1</f>
        <v>80168</v>
      </c>
    </row>
    <row r="10" customFormat="false" ht="15.75" hidden="false" customHeight="true" outlineLevel="0" collapsed="false">
      <c r="A10" s="28" t="s">
        <v>112</v>
      </c>
      <c r="B10" s="28" t="s">
        <v>113</v>
      </c>
      <c r="C10" s="28" t="s">
        <v>114</v>
      </c>
      <c r="D10" s="28" t="s">
        <v>67</v>
      </c>
      <c r="E10" s="29" t="n">
        <v>117300</v>
      </c>
      <c r="F10" s="28" t="s">
        <v>78</v>
      </c>
      <c r="G10" s="28" t="s">
        <v>69</v>
      </c>
      <c r="H10" s="28" t="s">
        <v>101</v>
      </c>
      <c r="I10" s="28" t="s">
        <v>115</v>
      </c>
      <c r="J10" s="28" t="s">
        <v>116</v>
      </c>
      <c r="K10" s="28" t="s">
        <v>73</v>
      </c>
      <c r="L10" s="28" t="s">
        <v>117</v>
      </c>
      <c r="M10" s="28" t="s">
        <v>118</v>
      </c>
      <c r="N10" s="28" t="n">
        <v>5</v>
      </c>
      <c r="O10" s="25" t="n">
        <f aca="false">E10*$P$1</f>
        <v>103224</v>
      </c>
    </row>
    <row r="11" customFormat="false" ht="15.75" hidden="false" customHeight="true" outlineLevel="0" collapsed="false">
      <c r="A11" s="28" t="s">
        <v>119</v>
      </c>
      <c r="B11" s="28" t="s">
        <v>113</v>
      </c>
      <c r="C11" s="28" t="s">
        <v>114</v>
      </c>
      <c r="D11" s="28" t="s">
        <v>67</v>
      </c>
      <c r="E11" s="29" t="n">
        <v>128150</v>
      </c>
      <c r="F11" s="28" t="s">
        <v>78</v>
      </c>
      <c r="G11" s="28" t="s">
        <v>69</v>
      </c>
      <c r="H11" s="28" t="s">
        <v>120</v>
      </c>
      <c r="I11" s="28" t="s">
        <v>121</v>
      </c>
      <c r="J11" s="28" t="s">
        <v>122</v>
      </c>
      <c r="K11" s="28" t="s">
        <v>73</v>
      </c>
      <c r="L11" s="28" t="s">
        <v>123</v>
      </c>
      <c r="M11" s="28" t="s">
        <v>124</v>
      </c>
      <c r="N11" s="28" t="n">
        <v>5</v>
      </c>
      <c r="O11" s="10" t="n">
        <f aca="false">E11*$P$1</f>
        <v>112772</v>
      </c>
    </row>
    <row r="12" customFormat="false" ht="15.75" hidden="false" customHeight="true" outlineLevel="0" collapsed="false">
      <c r="A12" s="28" t="s">
        <v>125</v>
      </c>
      <c r="B12" s="28" t="s">
        <v>113</v>
      </c>
      <c r="C12" s="28" t="s">
        <v>114</v>
      </c>
      <c r="D12" s="28" t="s">
        <v>67</v>
      </c>
      <c r="E12" s="29" t="n">
        <v>127750</v>
      </c>
      <c r="F12" s="28" t="s">
        <v>78</v>
      </c>
      <c r="G12" s="28" t="s">
        <v>90</v>
      </c>
      <c r="H12" s="28" t="s">
        <v>106</v>
      </c>
      <c r="I12" s="28" t="s">
        <v>126</v>
      </c>
      <c r="J12" s="28" t="s">
        <v>122</v>
      </c>
      <c r="K12" s="28" t="s">
        <v>73</v>
      </c>
      <c r="L12" s="28" t="s">
        <v>127</v>
      </c>
      <c r="M12" s="28" t="s">
        <v>128</v>
      </c>
      <c r="N12" s="28" t="n">
        <v>5</v>
      </c>
      <c r="O12" s="25" t="n">
        <f aca="false">E12*$P$1</f>
        <v>112420</v>
      </c>
    </row>
    <row r="13" customFormat="false" ht="15.75" hidden="false" customHeight="true" outlineLevel="0" collapsed="false">
      <c r="A13" s="28" t="s">
        <v>129</v>
      </c>
      <c r="B13" s="28" t="s">
        <v>130</v>
      </c>
      <c r="C13" s="28" t="s">
        <v>131</v>
      </c>
      <c r="D13" s="28" t="s">
        <v>132</v>
      </c>
      <c r="E13" s="29" t="n">
        <v>198300</v>
      </c>
      <c r="F13" s="28" t="s">
        <v>78</v>
      </c>
      <c r="G13" s="28" t="s">
        <v>69</v>
      </c>
      <c r="H13" s="28" t="s">
        <v>120</v>
      </c>
      <c r="I13" s="28" t="s">
        <v>121</v>
      </c>
      <c r="J13" s="28" t="s">
        <v>122</v>
      </c>
      <c r="K13" s="28" t="s">
        <v>73</v>
      </c>
      <c r="L13" s="28" t="s">
        <v>133</v>
      </c>
      <c r="M13" s="28" t="s">
        <v>134</v>
      </c>
      <c r="N13" s="28" t="n">
        <v>4</v>
      </c>
      <c r="O13" s="10" t="n">
        <f aca="false">E13*$P$1</f>
        <v>174504</v>
      </c>
    </row>
    <row r="14" customFormat="false" ht="15.75" hidden="false" customHeight="true" outlineLevel="0" collapsed="false">
      <c r="A14" s="28" t="s">
        <v>135</v>
      </c>
      <c r="B14" s="28" t="s">
        <v>130</v>
      </c>
      <c r="C14" s="28" t="s">
        <v>131</v>
      </c>
      <c r="D14" s="28" t="s">
        <v>132</v>
      </c>
      <c r="E14" s="29" t="n">
        <v>235000</v>
      </c>
      <c r="F14" s="28" t="s">
        <v>78</v>
      </c>
      <c r="G14" s="28" t="s">
        <v>136</v>
      </c>
      <c r="H14" s="28" t="s">
        <v>137</v>
      </c>
      <c r="I14" s="28" t="s">
        <v>138</v>
      </c>
      <c r="J14" s="28" t="s">
        <v>139</v>
      </c>
      <c r="K14" s="28" t="s">
        <v>73</v>
      </c>
      <c r="L14" s="28" t="s">
        <v>103</v>
      </c>
      <c r="M14" s="28" t="s">
        <v>140</v>
      </c>
      <c r="N14" s="28" t="n">
        <v>4</v>
      </c>
      <c r="O14" s="25" t="n">
        <f aca="false">E14*$P$1</f>
        <v>206800</v>
      </c>
    </row>
    <row r="15" customFormat="false" ht="15.75" hidden="false" customHeight="true" outlineLevel="0" collapsed="false">
      <c r="A15" s="28" t="s">
        <v>141</v>
      </c>
      <c r="B15" s="28" t="s">
        <v>142</v>
      </c>
      <c r="C15" s="28" t="s">
        <v>143</v>
      </c>
      <c r="D15" s="28" t="s">
        <v>67</v>
      </c>
      <c r="E15" s="29" t="n">
        <v>43200</v>
      </c>
      <c r="F15" s="28" t="s">
        <v>144</v>
      </c>
      <c r="G15" s="28" t="s">
        <v>69</v>
      </c>
      <c r="H15" s="28" t="s">
        <v>70</v>
      </c>
      <c r="I15" s="28" t="s">
        <v>145</v>
      </c>
      <c r="J15" s="28" t="s">
        <v>146</v>
      </c>
      <c r="K15" s="28" t="s">
        <v>147</v>
      </c>
      <c r="L15" s="28" t="s">
        <v>148</v>
      </c>
      <c r="M15" s="28" t="s">
        <v>75</v>
      </c>
      <c r="N15" s="28" t="n">
        <v>5</v>
      </c>
      <c r="O15" s="10" t="n">
        <f aca="false">E15*$P$1</f>
        <v>38016</v>
      </c>
    </row>
    <row r="16" customFormat="false" ht="15.75" hidden="false" customHeight="true" outlineLevel="0" collapsed="false">
      <c r="A16" s="28" t="s">
        <v>149</v>
      </c>
      <c r="B16" s="28" t="s">
        <v>142</v>
      </c>
      <c r="C16" s="28" t="s">
        <v>143</v>
      </c>
      <c r="D16" s="28" t="s">
        <v>81</v>
      </c>
      <c r="E16" s="29" t="n">
        <v>67000</v>
      </c>
      <c r="F16" s="28" t="s">
        <v>82</v>
      </c>
      <c r="G16" s="28" t="s">
        <v>136</v>
      </c>
      <c r="H16" s="28" t="s">
        <v>70</v>
      </c>
      <c r="I16" s="28" t="s">
        <v>150</v>
      </c>
      <c r="J16" s="28" t="s">
        <v>85</v>
      </c>
      <c r="K16" s="28" t="s">
        <v>151</v>
      </c>
      <c r="L16" s="28" t="s">
        <v>152</v>
      </c>
      <c r="M16" s="28" t="s">
        <v>88</v>
      </c>
      <c r="N16" s="28" t="n">
        <v>5</v>
      </c>
      <c r="O16" s="25" t="n">
        <f aca="false">E16*$P$1</f>
        <v>58960</v>
      </c>
    </row>
    <row r="17" customFormat="false" ht="15.75" hidden="false" customHeight="true" outlineLevel="0" collapsed="false">
      <c r="A17" s="28" t="s">
        <v>153</v>
      </c>
      <c r="B17" s="28" t="s">
        <v>154</v>
      </c>
      <c r="C17" s="28" t="s">
        <v>155</v>
      </c>
      <c r="D17" s="28" t="s">
        <v>156</v>
      </c>
      <c r="E17" s="29" t="n">
        <v>74900</v>
      </c>
      <c r="F17" s="28" t="s">
        <v>68</v>
      </c>
      <c r="G17" s="28" t="s">
        <v>157</v>
      </c>
      <c r="H17" s="28" t="s">
        <v>158</v>
      </c>
      <c r="I17" s="28" t="s">
        <v>159</v>
      </c>
      <c r="J17" s="28" t="s">
        <v>160</v>
      </c>
      <c r="K17" s="28" t="s">
        <v>161</v>
      </c>
      <c r="L17" s="28" t="s">
        <v>162</v>
      </c>
      <c r="M17" s="28" t="s">
        <v>163</v>
      </c>
      <c r="N17" s="28" t="n">
        <v>5</v>
      </c>
      <c r="O17" s="10" t="n">
        <f aca="false">E17*$P$1</f>
        <v>65912</v>
      </c>
    </row>
    <row r="18" customFormat="false" ht="15.75" hidden="false" customHeight="true" outlineLevel="0" collapsed="false">
      <c r="A18" s="28" t="s">
        <v>164</v>
      </c>
      <c r="B18" s="28" t="s">
        <v>154</v>
      </c>
      <c r="C18" s="28" t="s">
        <v>155</v>
      </c>
      <c r="D18" s="28" t="s">
        <v>156</v>
      </c>
      <c r="E18" s="29" t="n">
        <v>77900</v>
      </c>
      <c r="F18" s="28" t="s">
        <v>78</v>
      </c>
      <c r="G18" s="28" t="s">
        <v>157</v>
      </c>
      <c r="H18" s="28" t="s">
        <v>165</v>
      </c>
      <c r="I18" s="28" t="s">
        <v>159</v>
      </c>
      <c r="J18" s="28" t="s">
        <v>166</v>
      </c>
      <c r="K18" s="28" t="s">
        <v>161</v>
      </c>
      <c r="L18" s="28" t="s">
        <v>74</v>
      </c>
      <c r="M18" s="28" t="s">
        <v>167</v>
      </c>
      <c r="N18" s="28" t="n">
        <v>5</v>
      </c>
      <c r="O18" s="25" t="n">
        <f aca="false">E18*$P$1</f>
        <v>68552</v>
      </c>
    </row>
    <row r="19" customFormat="false" ht="15.75" hidden="false" customHeight="true" outlineLevel="0" collapsed="false">
      <c r="A19" s="28" t="s">
        <v>168</v>
      </c>
      <c r="B19" s="28" t="s">
        <v>154</v>
      </c>
      <c r="C19" s="28" t="s">
        <v>155</v>
      </c>
      <c r="D19" s="28" t="s">
        <v>169</v>
      </c>
      <c r="E19" s="29" t="n">
        <v>106900</v>
      </c>
      <c r="F19" s="28" t="s">
        <v>82</v>
      </c>
      <c r="G19" s="28" t="s">
        <v>157</v>
      </c>
      <c r="H19" s="28" t="s">
        <v>170</v>
      </c>
      <c r="I19" s="28" t="s">
        <v>171</v>
      </c>
      <c r="J19" s="28" t="s">
        <v>172</v>
      </c>
      <c r="K19" s="28" t="s">
        <v>161</v>
      </c>
      <c r="L19" s="28" t="s">
        <v>173</v>
      </c>
      <c r="M19" s="28" t="s">
        <v>174</v>
      </c>
      <c r="N19" s="28" t="n">
        <v>5</v>
      </c>
      <c r="O19" s="10" t="n">
        <f aca="false">E19*$P$1</f>
        <v>94072</v>
      </c>
    </row>
    <row r="20" customFormat="false" ht="15.75" hidden="false" customHeight="true" outlineLevel="0" collapsed="false">
      <c r="A20" s="28" t="s">
        <v>175</v>
      </c>
      <c r="B20" s="28" t="s">
        <v>176</v>
      </c>
      <c r="C20" s="28" t="s">
        <v>177</v>
      </c>
      <c r="D20" s="28" t="s">
        <v>156</v>
      </c>
      <c r="E20" s="29" t="n">
        <v>104400</v>
      </c>
      <c r="F20" s="28" t="s">
        <v>68</v>
      </c>
      <c r="G20" s="28" t="s">
        <v>157</v>
      </c>
      <c r="H20" s="28" t="s">
        <v>158</v>
      </c>
      <c r="I20" s="28" t="s">
        <v>178</v>
      </c>
      <c r="J20" s="28" t="s">
        <v>160</v>
      </c>
      <c r="K20" s="28" t="s">
        <v>161</v>
      </c>
      <c r="L20" s="28" t="s">
        <v>179</v>
      </c>
      <c r="M20" s="28" t="s">
        <v>180</v>
      </c>
      <c r="N20" s="28" t="n">
        <v>5</v>
      </c>
      <c r="O20" s="25" t="n">
        <f aca="false">E20*$P$1</f>
        <v>91872</v>
      </c>
    </row>
    <row r="21" customFormat="false" ht="15.75" hidden="false" customHeight="true" outlineLevel="0" collapsed="false">
      <c r="A21" s="28" t="s">
        <v>181</v>
      </c>
      <c r="B21" s="28" t="s">
        <v>176</v>
      </c>
      <c r="C21" s="28" t="s">
        <v>177</v>
      </c>
      <c r="D21" s="28" t="s">
        <v>156</v>
      </c>
      <c r="E21" s="29" t="n">
        <v>127350</v>
      </c>
      <c r="F21" s="28" t="s">
        <v>78</v>
      </c>
      <c r="G21" s="28" t="s">
        <v>157</v>
      </c>
      <c r="H21" s="28" t="s">
        <v>165</v>
      </c>
      <c r="I21" s="28" t="s">
        <v>182</v>
      </c>
      <c r="J21" s="28" t="s">
        <v>183</v>
      </c>
      <c r="K21" s="28" t="s">
        <v>161</v>
      </c>
      <c r="L21" s="28" t="s">
        <v>184</v>
      </c>
      <c r="M21" s="28" t="s">
        <v>185</v>
      </c>
      <c r="N21" s="28" t="n">
        <v>5</v>
      </c>
      <c r="O21" s="10" t="n">
        <f aca="false">E21*$P$1</f>
        <v>112068</v>
      </c>
    </row>
    <row r="22" customFormat="false" ht="15.75" hidden="false" customHeight="true" outlineLevel="0" collapsed="false">
      <c r="A22" s="28" t="s">
        <v>186</v>
      </c>
      <c r="B22" s="28" t="s">
        <v>187</v>
      </c>
      <c r="C22" s="28" t="s">
        <v>188</v>
      </c>
      <c r="D22" s="28" t="s">
        <v>67</v>
      </c>
      <c r="E22" s="29" t="n">
        <v>41850</v>
      </c>
      <c r="F22" s="28" t="s">
        <v>144</v>
      </c>
      <c r="G22" s="28" t="s">
        <v>69</v>
      </c>
      <c r="H22" s="28" t="s">
        <v>70</v>
      </c>
      <c r="I22" s="28" t="s">
        <v>145</v>
      </c>
      <c r="J22" s="28" t="s">
        <v>146</v>
      </c>
      <c r="K22" s="28" t="s">
        <v>189</v>
      </c>
      <c r="L22" s="28" t="s">
        <v>190</v>
      </c>
      <c r="M22" s="28" t="s">
        <v>191</v>
      </c>
      <c r="N22" s="28" t="n">
        <v>5</v>
      </c>
      <c r="O22" s="25" t="n">
        <f aca="false">E22*$P$1</f>
        <v>36828</v>
      </c>
    </row>
    <row r="23" customFormat="false" ht="15.75" hidden="false" customHeight="true" outlineLevel="0" collapsed="false">
      <c r="A23" s="28" t="s">
        <v>192</v>
      </c>
      <c r="B23" s="28" t="s">
        <v>193</v>
      </c>
      <c r="C23" s="28" t="s">
        <v>188</v>
      </c>
      <c r="D23" s="28" t="s">
        <v>67</v>
      </c>
      <c r="E23" s="29" t="n">
        <v>44450</v>
      </c>
      <c r="F23" s="28" t="s">
        <v>144</v>
      </c>
      <c r="G23" s="28" t="s">
        <v>69</v>
      </c>
      <c r="H23" s="28" t="s">
        <v>70</v>
      </c>
      <c r="I23" s="28" t="s">
        <v>145</v>
      </c>
      <c r="J23" s="28" t="s">
        <v>146</v>
      </c>
      <c r="K23" s="28" t="s">
        <v>189</v>
      </c>
      <c r="L23" s="28" t="s">
        <v>194</v>
      </c>
      <c r="M23" s="28" t="s">
        <v>195</v>
      </c>
      <c r="N23" s="28" t="n">
        <v>7</v>
      </c>
      <c r="O23" s="10" t="n">
        <f aca="false">E23*$P$1</f>
        <v>39116</v>
      </c>
    </row>
    <row r="24" customFormat="false" ht="15.75" hidden="false" customHeight="true" outlineLevel="0" collapsed="false">
      <c r="A24" s="28" t="s">
        <v>196</v>
      </c>
      <c r="B24" s="28" t="s">
        <v>193</v>
      </c>
      <c r="C24" s="28" t="s">
        <v>188</v>
      </c>
      <c r="D24" s="28" t="s">
        <v>81</v>
      </c>
      <c r="E24" s="29" t="n">
        <v>60600</v>
      </c>
      <c r="F24" s="28" t="s">
        <v>197</v>
      </c>
      <c r="G24" s="28" t="s">
        <v>69</v>
      </c>
      <c r="H24" s="28" t="s">
        <v>70</v>
      </c>
      <c r="I24" s="28" t="s">
        <v>198</v>
      </c>
      <c r="J24" s="28" t="s">
        <v>72</v>
      </c>
      <c r="K24" s="28" t="s">
        <v>151</v>
      </c>
      <c r="L24" s="28" t="s">
        <v>199</v>
      </c>
      <c r="M24" s="28" t="s">
        <v>200</v>
      </c>
      <c r="N24" s="28" t="n">
        <v>7</v>
      </c>
      <c r="O24" s="25" t="n">
        <f aca="false">E24*$P$1</f>
        <v>53328</v>
      </c>
    </row>
    <row r="25" customFormat="false" ht="15.75" hidden="false" customHeight="true" outlineLevel="0" collapsed="false">
      <c r="A25" s="28" t="s">
        <v>39</v>
      </c>
      <c r="B25" s="28" t="s">
        <v>201</v>
      </c>
      <c r="C25" s="28" t="s">
        <v>202</v>
      </c>
      <c r="D25" s="28" t="s">
        <v>67</v>
      </c>
      <c r="E25" s="29" t="n">
        <v>48600</v>
      </c>
      <c r="F25" s="28" t="s">
        <v>68</v>
      </c>
      <c r="G25" s="28" t="s">
        <v>69</v>
      </c>
      <c r="H25" s="28" t="s">
        <v>70</v>
      </c>
      <c r="I25" s="28" t="s">
        <v>71</v>
      </c>
      <c r="J25" s="28" t="s">
        <v>72</v>
      </c>
      <c r="K25" s="28" t="s">
        <v>73</v>
      </c>
      <c r="L25" s="28" t="s">
        <v>162</v>
      </c>
      <c r="M25" s="28" t="s">
        <v>203</v>
      </c>
      <c r="N25" s="28" t="n">
        <v>5</v>
      </c>
      <c r="O25" s="10" t="n">
        <f aca="false">E25*$P$1</f>
        <v>42768</v>
      </c>
    </row>
    <row r="26" customFormat="false" ht="15.75" hidden="false" customHeight="true" outlineLevel="0" collapsed="false">
      <c r="A26" s="28" t="s">
        <v>204</v>
      </c>
      <c r="B26" s="28" t="s">
        <v>201</v>
      </c>
      <c r="C26" s="28" t="s">
        <v>202</v>
      </c>
      <c r="D26" s="28" t="s">
        <v>67</v>
      </c>
      <c r="E26" s="29" t="n">
        <v>50600</v>
      </c>
      <c r="F26" s="28" t="s">
        <v>78</v>
      </c>
      <c r="G26" s="28" t="s">
        <v>69</v>
      </c>
      <c r="H26" s="28" t="s">
        <v>70</v>
      </c>
      <c r="I26" s="28" t="s">
        <v>71</v>
      </c>
      <c r="J26" s="28" t="s">
        <v>72</v>
      </c>
      <c r="K26" s="28" t="s">
        <v>73</v>
      </c>
      <c r="L26" s="28" t="s">
        <v>162</v>
      </c>
      <c r="M26" s="28" t="s">
        <v>205</v>
      </c>
      <c r="N26" s="28" t="n">
        <v>5</v>
      </c>
      <c r="O26" s="25" t="n">
        <f aca="false">E26*$P$1</f>
        <v>44528</v>
      </c>
    </row>
    <row r="27" customFormat="false" ht="15.75" hidden="false" customHeight="true" outlineLevel="0" collapsed="false">
      <c r="A27" s="28" t="s">
        <v>33</v>
      </c>
      <c r="B27" s="28" t="s">
        <v>201</v>
      </c>
      <c r="C27" s="28" t="s">
        <v>202</v>
      </c>
      <c r="D27" s="28" t="s">
        <v>67</v>
      </c>
      <c r="E27" s="29" t="n">
        <v>59900</v>
      </c>
      <c r="F27" s="28" t="s">
        <v>78</v>
      </c>
      <c r="G27" s="28" t="s">
        <v>90</v>
      </c>
      <c r="H27" s="28" t="s">
        <v>206</v>
      </c>
      <c r="I27" s="28" t="s">
        <v>207</v>
      </c>
      <c r="J27" s="28" t="s">
        <v>208</v>
      </c>
      <c r="K27" s="28" t="s">
        <v>73</v>
      </c>
      <c r="L27" s="28" t="s">
        <v>209</v>
      </c>
      <c r="M27" s="28" t="s">
        <v>210</v>
      </c>
      <c r="N27" s="28" t="n">
        <v>5</v>
      </c>
      <c r="O27" s="10" t="n">
        <f aca="false">E27*$P$1</f>
        <v>52712</v>
      </c>
    </row>
    <row r="28" customFormat="false" ht="15.75" hidden="false" customHeight="true" outlineLevel="0" collapsed="false">
      <c r="A28" s="28" t="s">
        <v>211</v>
      </c>
      <c r="B28" s="28" t="s">
        <v>201</v>
      </c>
      <c r="C28" s="28" t="s">
        <v>202</v>
      </c>
      <c r="D28" s="28" t="s">
        <v>81</v>
      </c>
      <c r="E28" s="29" t="n">
        <v>64950</v>
      </c>
      <c r="F28" s="28" t="s">
        <v>82</v>
      </c>
      <c r="G28" s="28" t="s">
        <v>69</v>
      </c>
      <c r="H28" s="28" t="s">
        <v>83</v>
      </c>
      <c r="I28" s="28" t="s">
        <v>150</v>
      </c>
      <c r="J28" s="28" t="s">
        <v>85</v>
      </c>
      <c r="K28" s="28" t="s">
        <v>86</v>
      </c>
      <c r="L28" s="28" t="s">
        <v>133</v>
      </c>
      <c r="M28" s="28" t="s">
        <v>212</v>
      </c>
      <c r="N28" s="28" t="n">
        <v>5</v>
      </c>
      <c r="O28" s="25" t="n">
        <f aca="false">E28*$P$1</f>
        <v>57156</v>
      </c>
    </row>
    <row r="29" customFormat="false" ht="15.75" hidden="false" customHeight="true" outlineLevel="0" collapsed="false">
      <c r="A29" s="28" t="s">
        <v>213</v>
      </c>
      <c r="B29" s="28" t="s">
        <v>214</v>
      </c>
      <c r="C29" s="28" t="s">
        <v>215</v>
      </c>
      <c r="D29" s="28" t="s">
        <v>156</v>
      </c>
      <c r="E29" s="29" t="n">
        <v>53050</v>
      </c>
      <c r="F29" s="28" t="s">
        <v>144</v>
      </c>
      <c r="G29" s="28" t="s">
        <v>157</v>
      </c>
      <c r="H29" s="28" t="s">
        <v>216</v>
      </c>
      <c r="I29" s="28" t="s">
        <v>217</v>
      </c>
      <c r="J29" s="28" t="s">
        <v>218</v>
      </c>
      <c r="K29" s="28" t="s">
        <v>161</v>
      </c>
      <c r="L29" s="28" t="s">
        <v>219</v>
      </c>
      <c r="M29" s="28" t="s">
        <v>220</v>
      </c>
      <c r="N29" s="28" t="n">
        <v>7</v>
      </c>
      <c r="O29" s="10" t="n">
        <f aca="false">E29*$P$1</f>
        <v>46684</v>
      </c>
    </row>
    <row r="30" customFormat="false" ht="15.75" hidden="false" customHeight="true" outlineLevel="0" collapsed="false">
      <c r="A30" s="28" t="s">
        <v>221</v>
      </c>
      <c r="B30" s="28" t="s">
        <v>214</v>
      </c>
      <c r="C30" s="28" t="s">
        <v>215</v>
      </c>
      <c r="D30" s="28" t="s">
        <v>156</v>
      </c>
      <c r="E30" s="29" t="n">
        <v>57200</v>
      </c>
      <c r="F30" s="28" t="s">
        <v>78</v>
      </c>
      <c r="G30" s="28" t="s">
        <v>157</v>
      </c>
      <c r="H30" s="28" t="s">
        <v>222</v>
      </c>
      <c r="I30" s="28" t="s">
        <v>223</v>
      </c>
      <c r="J30" s="28" t="s">
        <v>224</v>
      </c>
      <c r="K30" s="28" t="s">
        <v>161</v>
      </c>
      <c r="L30" s="28" t="s">
        <v>225</v>
      </c>
      <c r="M30" s="28" t="s">
        <v>226</v>
      </c>
      <c r="N30" s="28" t="n">
        <v>7</v>
      </c>
      <c r="O30" s="25" t="n">
        <f aca="false">E30*$P$1</f>
        <v>50336</v>
      </c>
    </row>
    <row r="31" customFormat="false" ht="15.75" hidden="false" customHeight="true" outlineLevel="0" collapsed="false">
      <c r="A31" s="28" t="s">
        <v>227</v>
      </c>
      <c r="B31" s="28" t="s">
        <v>228</v>
      </c>
      <c r="C31" s="28" t="s">
        <v>202</v>
      </c>
      <c r="D31" s="28" t="s">
        <v>67</v>
      </c>
      <c r="E31" s="29" t="n">
        <v>64350</v>
      </c>
      <c r="F31" s="28" t="s">
        <v>78</v>
      </c>
      <c r="G31" s="28" t="s">
        <v>69</v>
      </c>
      <c r="H31" s="28" t="s">
        <v>70</v>
      </c>
      <c r="I31" s="28" t="s">
        <v>71</v>
      </c>
      <c r="J31" s="28" t="s">
        <v>72</v>
      </c>
      <c r="K31" s="28" t="s">
        <v>73</v>
      </c>
      <c r="L31" s="28" t="s">
        <v>225</v>
      </c>
      <c r="M31" s="28" t="s">
        <v>229</v>
      </c>
      <c r="N31" s="28" t="n">
        <v>7</v>
      </c>
      <c r="O31" s="10" t="n">
        <f aca="false">E31*$P$1</f>
        <v>56628</v>
      </c>
    </row>
    <row r="32" customFormat="false" ht="15.75" hidden="false" customHeight="true" outlineLevel="0" collapsed="false">
      <c r="A32" s="28" t="s">
        <v>230</v>
      </c>
      <c r="B32" s="28" t="s">
        <v>228</v>
      </c>
      <c r="C32" s="28" t="s">
        <v>202</v>
      </c>
      <c r="D32" s="28" t="s">
        <v>67</v>
      </c>
      <c r="E32" s="29" t="n">
        <v>71350</v>
      </c>
      <c r="F32" s="28" t="s">
        <v>78</v>
      </c>
      <c r="G32" s="28" t="s">
        <v>69</v>
      </c>
      <c r="H32" s="28" t="s">
        <v>101</v>
      </c>
      <c r="I32" s="28" t="s">
        <v>102</v>
      </c>
      <c r="J32" s="28" t="s">
        <v>85</v>
      </c>
      <c r="K32" s="28" t="s">
        <v>73</v>
      </c>
      <c r="L32" s="28" t="s">
        <v>231</v>
      </c>
      <c r="M32" s="28" t="s">
        <v>232</v>
      </c>
      <c r="N32" s="28" t="n">
        <v>7</v>
      </c>
      <c r="O32" s="25" t="n">
        <f aca="false">E32*$P$1</f>
        <v>62788</v>
      </c>
    </row>
    <row r="33" customFormat="false" ht="15.75" hidden="false" customHeight="true" outlineLevel="0" collapsed="false">
      <c r="A33" s="28" t="s">
        <v>233</v>
      </c>
      <c r="B33" s="28" t="s">
        <v>228</v>
      </c>
      <c r="C33" s="28" t="s">
        <v>202</v>
      </c>
      <c r="D33" s="28" t="s">
        <v>81</v>
      </c>
      <c r="E33" s="29" t="n">
        <v>78450</v>
      </c>
      <c r="F33" s="28" t="s">
        <v>82</v>
      </c>
      <c r="G33" s="28" t="s">
        <v>69</v>
      </c>
      <c r="H33" s="28" t="s">
        <v>234</v>
      </c>
      <c r="I33" s="28" t="s">
        <v>235</v>
      </c>
      <c r="J33" s="28" t="s">
        <v>116</v>
      </c>
      <c r="K33" s="28" t="s">
        <v>109</v>
      </c>
      <c r="L33" s="28" t="s">
        <v>236</v>
      </c>
      <c r="M33" s="28" t="s">
        <v>237</v>
      </c>
      <c r="N33" s="28" t="n">
        <v>7</v>
      </c>
      <c r="O33" s="10" t="n">
        <f aca="false">E33*$P$1</f>
        <v>69036</v>
      </c>
    </row>
    <row r="34" customFormat="false" ht="15.75" hidden="false" customHeight="true" outlineLevel="0" collapsed="false">
      <c r="A34" s="28" t="s">
        <v>238</v>
      </c>
      <c r="B34" s="28" t="s">
        <v>228</v>
      </c>
      <c r="C34" s="28" t="s">
        <v>202</v>
      </c>
      <c r="D34" s="28" t="s">
        <v>81</v>
      </c>
      <c r="E34" s="29" t="n">
        <v>128200</v>
      </c>
      <c r="F34" s="28" t="s">
        <v>82</v>
      </c>
      <c r="G34" s="28" t="s">
        <v>69</v>
      </c>
      <c r="H34" s="28" t="s">
        <v>120</v>
      </c>
      <c r="I34" s="28" t="s">
        <v>239</v>
      </c>
      <c r="J34" s="28" t="s">
        <v>240</v>
      </c>
      <c r="K34" s="28" t="s">
        <v>109</v>
      </c>
      <c r="L34" s="28" t="s">
        <v>110</v>
      </c>
      <c r="M34" s="28" t="s">
        <v>241</v>
      </c>
      <c r="N34" s="28" t="n">
        <v>5</v>
      </c>
      <c r="O34" s="25" t="n">
        <f aca="false">E34*$P$1</f>
        <v>112816</v>
      </c>
    </row>
    <row r="35" customFormat="false" ht="15.75" hidden="false" customHeight="true" outlineLevel="0" collapsed="false">
      <c r="A35" s="28" t="s">
        <v>242</v>
      </c>
      <c r="B35" s="28" t="s">
        <v>243</v>
      </c>
      <c r="C35" s="28" t="s">
        <v>244</v>
      </c>
      <c r="D35" s="28" t="s">
        <v>67</v>
      </c>
      <c r="E35" s="29" t="n">
        <v>87000</v>
      </c>
      <c r="F35" s="28" t="s">
        <v>78</v>
      </c>
      <c r="G35" s="28" t="s">
        <v>69</v>
      </c>
      <c r="H35" s="28" t="s">
        <v>101</v>
      </c>
      <c r="I35" s="28" t="s">
        <v>102</v>
      </c>
      <c r="J35" s="28" t="s">
        <v>85</v>
      </c>
      <c r="K35" s="28" t="s">
        <v>73</v>
      </c>
      <c r="L35" s="28" t="s">
        <v>245</v>
      </c>
      <c r="M35" s="28" t="s">
        <v>246</v>
      </c>
      <c r="N35" s="28" t="n">
        <v>7</v>
      </c>
      <c r="O35" s="10" t="n">
        <f aca="false">E35*$P$1</f>
        <v>76560</v>
      </c>
    </row>
    <row r="36" customFormat="false" ht="15.75" hidden="false" customHeight="true" outlineLevel="0" collapsed="false">
      <c r="A36" s="28" t="s">
        <v>247</v>
      </c>
      <c r="B36" s="28" t="s">
        <v>243</v>
      </c>
      <c r="C36" s="28" t="s">
        <v>244</v>
      </c>
      <c r="D36" s="28" t="s">
        <v>67</v>
      </c>
      <c r="E36" s="29" t="n">
        <v>112300</v>
      </c>
      <c r="F36" s="28" t="s">
        <v>78</v>
      </c>
      <c r="G36" s="28" t="s">
        <v>69</v>
      </c>
      <c r="H36" s="28" t="s">
        <v>120</v>
      </c>
      <c r="I36" s="28" t="s">
        <v>126</v>
      </c>
      <c r="J36" s="28" t="s">
        <v>248</v>
      </c>
      <c r="K36" s="28" t="s">
        <v>73</v>
      </c>
      <c r="L36" s="28" t="s">
        <v>133</v>
      </c>
      <c r="M36" s="28" t="s">
        <v>249</v>
      </c>
      <c r="N36" s="28" t="n">
        <v>7</v>
      </c>
      <c r="O36" s="25" t="n">
        <f aca="false">E36*$P$1</f>
        <v>98824</v>
      </c>
    </row>
    <row r="37" customFormat="false" ht="15.75" hidden="false" customHeight="true" outlineLevel="0" collapsed="false">
      <c r="A37" s="28" t="s">
        <v>250</v>
      </c>
      <c r="B37" s="28" t="s">
        <v>251</v>
      </c>
      <c r="C37" s="28" t="s">
        <v>252</v>
      </c>
      <c r="D37" s="28" t="s">
        <v>132</v>
      </c>
      <c r="E37" s="29" t="n">
        <v>178450</v>
      </c>
      <c r="F37" s="28" t="s">
        <v>78</v>
      </c>
      <c r="G37" s="28" t="s">
        <v>69</v>
      </c>
      <c r="H37" s="28" t="s">
        <v>120</v>
      </c>
      <c r="I37" s="28" t="s">
        <v>253</v>
      </c>
      <c r="J37" s="28" t="s">
        <v>248</v>
      </c>
      <c r="K37" s="28" t="s">
        <v>73</v>
      </c>
      <c r="L37" s="28" t="s">
        <v>127</v>
      </c>
      <c r="M37" s="28" t="s">
        <v>254</v>
      </c>
      <c r="N37" s="28" t="n">
        <v>4</v>
      </c>
      <c r="O37" s="10" t="n">
        <f aca="false">E37*$P$1</f>
        <v>157036</v>
      </c>
    </row>
    <row r="38" customFormat="false" ht="15.75" hidden="false" customHeight="true" outlineLevel="0" collapsed="false">
      <c r="A38" s="28" t="s">
        <v>255</v>
      </c>
      <c r="B38" s="28" t="s">
        <v>154</v>
      </c>
      <c r="C38" s="28" t="s">
        <v>256</v>
      </c>
      <c r="D38" s="28" t="s">
        <v>156</v>
      </c>
      <c r="E38" s="29" t="n">
        <v>77900</v>
      </c>
      <c r="F38" s="28" t="s">
        <v>68</v>
      </c>
      <c r="G38" s="28" t="s">
        <v>157</v>
      </c>
      <c r="H38" s="28" t="s">
        <v>158</v>
      </c>
      <c r="I38" s="28" t="s">
        <v>159</v>
      </c>
      <c r="J38" s="28" t="s">
        <v>160</v>
      </c>
      <c r="K38" s="28" t="s">
        <v>161</v>
      </c>
      <c r="L38" s="28" t="s">
        <v>148</v>
      </c>
      <c r="M38" s="28" t="s">
        <v>257</v>
      </c>
      <c r="N38" s="28" t="n">
        <v>5</v>
      </c>
      <c r="O38" s="25" t="n">
        <f aca="false">E38*$P$1</f>
        <v>68552</v>
      </c>
    </row>
    <row r="39" customFormat="false" ht="15.75" hidden="false" customHeight="true" outlineLevel="0" collapsed="false">
      <c r="A39" s="28" t="s">
        <v>258</v>
      </c>
      <c r="B39" s="28" t="s">
        <v>176</v>
      </c>
      <c r="C39" s="28" t="s">
        <v>256</v>
      </c>
      <c r="D39" s="28" t="s">
        <v>156</v>
      </c>
      <c r="E39" s="29" t="n">
        <v>104400</v>
      </c>
      <c r="F39" s="28" t="s">
        <v>68</v>
      </c>
      <c r="G39" s="28" t="s">
        <v>157</v>
      </c>
      <c r="H39" s="28" t="s">
        <v>158</v>
      </c>
      <c r="I39" s="28" t="s">
        <v>259</v>
      </c>
      <c r="J39" s="28" t="s">
        <v>260</v>
      </c>
      <c r="K39" s="28" t="s">
        <v>161</v>
      </c>
      <c r="L39" s="28" t="s">
        <v>261</v>
      </c>
      <c r="M39" s="28" t="s">
        <v>262</v>
      </c>
      <c r="N39" s="28" t="n">
        <v>7</v>
      </c>
      <c r="O39" s="10" t="n">
        <f aca="false">E39*$P$1</f>
        <v>91872</v>
      </c>
    </row>
    <row r="40" customFormat="false" ht="15.75" hidden="false" customHeight="true" outlineLevel="0" collapsed="false">
      <c r="A40" s="28" t="s">
        <v>263</v>
      </c>
      <c r="B40" s="28" t="s">
        <v>264</v>
      </c>
      <c r="C40" s="28" t="s">
        <v>265</v>
      </c>
      <c r="D40" s="28" t="s">
        <v>266</v>
      </c>
      <c r="E40" s="29" t="n">
        <v>179900</v>
      </c>
      <c r="F40" s="28" t="s">
        <v>78</v>
      </c>
      <c r="G40" s="28" t="s">
        <v>157</v>
      </c>
      <c r="H40" s="28" t="s">
        <v>165</v>
      </c>
      <c r="I40" s="28" t="s">
        <v>267</v>
      </c>
      <c r="J40" s="28" t="s">
        <v>268</v>
      </c>
      <c r="K40" s="28" t="s">
        <v>161</v>
      </c>
      <c r="L40" s="28" t="s">
        <v>184</v>
      </c>
      <c r="M40" s="28" t="s">
        <v>269</v>
      </c>
      <c r="N40" s="28" t="n">
        <v>4</v>
      </c>
      <c r="O40" s="25" t="n">
        <f aca="false">E40*$P$1</f>
        <v>158312</v>
      </c>
    </row>
    <row r="41" customFormat="false" ht="15.75" hidden="false" customHeight="true" outlineLevel="0" collapsed="false">
      <c r="A41" s="28" t="s">
        <v>270</v>
      </c>
      <c r="B41" s="28" t="s">
        <v>271</v>
      </c>
      <c r="C41" s="28" t="s">
        <v>272</v>
      </c>
      <c r="D41" s="28" t="s">
        <v>67</v>
      </c>
      <c r="E41" s="29" t="n">
        <v>143000</v>
      </c>
      <c r="F41" s="28" t="s">
        <v>273</v>
      </c>
      <c r="G41" s="28" t="s">
        <v>69</v>
      </c>
      <c r="H41" s="28" t="s">
        <v>101</v>
      </c>
      <c r="I41" s="28" t="s">
        <v>274</v>
      </c>
      <c r="J41" s="28" t="s">
        <v>116</v>
      </c>
      <c r="K41" s="28" t="s">
        <v>73</v>
      </c>
      <c r="L41" s="28" t="s">
        <v>231</v>
      </c>
      <c r="M41" s="28" t="s">
        <v>275</v>
      </c>
      <c r="N41" s="28" t="n">
        <v>5</v>
      </c>
      <c r="O41" s="10" t="n">
        <f aca="false">E41*$P$1</f>
        <v>125840</v>
      </c>
    </row>
    <row r="42" customFormat="false" ht="15.75" hidden="false" customHeight="true" outlineLevel="0" collapsed="false">
      <c r="A42" s="28" t="s">
        <v>276</v>
      </c>
      <c r="B42" s="28" t="s">
        <v>271</v>
      </c>
      <c r="C42" s="28" t="s">
        <v>272</v>
      </c>
      <c r="D42" s="28" t="s">
        <v>81</v>
      </c>
      <c r="E42" s="29" t="n">
        <v>183000</v>
      </c>
      <c r="F42" s="28" t="s">
        <v>197</v>
      </c>
      <c r="G42" s="28" t="s">
        <v>69</v>
      </c>
      <c r="H42" s="28" t="s">
        <v>120</v>
      </c>
      <c r="I42" s="28" t="s">
        <v>107</v>
      </c>
      <c r="J42" s="28" t="s">
        <v>240</v>
      </c>
      <c r="K42" s="28" t="s">
        <v>109</v>
      </c>
      <c r="L42" s="28" t="s">
        <v>277</v>
      </c>
      <c r="M42" s="28" t="s">
        <v>278</v>
      </c>
      <c r="N42" s="28" t="n">
        <v>5</v>
      </c>
      <c r="O42" s="25" t="n">
        <f aca="false">E42*$P$1</f>
        <v>161040</v>
      </c>
    </row>
    <row r="43" customFormat="false" ht="15.75" hidden="false" customHeight="true" outlineLevel="0" collapsed="false">
      <c r="A43" s="28" t="s">
        <v>279</v>
      </c>
      <c r="B43" s="28" t="s">
        <v>280</v>
      </c>
      <c r="C43" s="28" t="s">
        <v>281</v>
      </c>
      <c r="D43" s="28" t="s">
        <v>67</v>
      </c>
      <c r="E43" s="29" t="n">
        <v>56500</v>
      </c>
      <c r="F43" s="28" t="s">
        <v>78</v>
      </c>
      <c r="G43" s="28" t="s">
        <v>69</v>
      </c>
      <c r="H43" s="28" t="s">
        <v>70</v>
      </c>
      <c r="I43" s="28" t="s">
        <v>71</v>
      </c>
      <c r="J43" s="28" t="s">
        <v>72</v>
      </c>
      <c r="K43" s="28" t="s">
        <v>73</v>
      </c>
      <c r="L43" s="28" t="s">
        <v>162</v>
      </c>
      <c r="M43" s="28" t="s">
        <v>282</v>
      </c>
      <c r="N43" s="28" t="n">
        <v>4</v>
      </c>
      <c r="O43" s="10" t="n">
        <f aca="false">E43*$P$1</f>
        <v>49720</v>
      </c>
    </row>
    <row r="44" customFormat="false" ht="15.75" hidden="false" customHeight="true" outlineLevel="0" collapsed="false">
      <c r="A44" s="28" t="s">
        <v>283</v>
      </c>
      <c r="B44" s="28" t="s">
        <v>280</v>
      </c>
      <c r="C44" s="28" t="s">
        <v>281</v>
      </c>
      <c r="D44" s="28" t="s">
        <v>67</v>
      </c>
      <c r="E44" s="29" t="n">
        <v>65350</v>
      </c>
      <c r="F44" s="28" t="s">
        <v>78</v>
      </c>
      <c r="G44" s="28" t="s">
        <v>69</v>
      </c>
      <c r="H44" s="28" t="s">
        <v>101</v>
      </c>
      <c r="I44" s="28" t="s">
        <v>102</v>
      </c>
      <c r="J44" s="28" t="s">
        <v>85</v>
      </c>
      <c r="K44" s="28" t="s">
        <v>73</v>
      </c>
      <c r="L44" s="28" t="s">
        <v>277</v>
      </c>
      <c r="M44" s="28" t="s">
        <v>284</v>
      </c>
      <c r="N44" s="28" t="n">
        <v>4</v>
      </c>
      <c r="O44" s="25" t="n">
        <f aca="false">E44*$P$1</f>
        <v>57508</v>
      </c>
    </row>
    <row r="45" customFormat="false" ht="15.75" hidden="false" customHeight="true" outlineLevel="0" collapsed="false">
      <c r="A45" s="28" t="s">
        <v>285</v>
      </c>
      <c r="B45" s="28" t="s">
        <v>280</v>
      </c>
      <c r="C45" s="28" t="s">
        <v>281</v>
      </c>
      <c r="D45" s="28" t="s">
        <v>81</v>
      </c>
      <c r="E45" s="29" t="n">
        <v>72800</v>
      </c>
      <c r="F45" s="28" t="s">
        <v>82</v>
      </c>
      <c r="G45" s="28" t="s">
        <v>69</v>
      </c>
      <c r="H45" s="28" t="s">
        <v>286</v>
      </c>
      <c r="I45" s="28" t="s">
        <v>274</v>
      </c>
      <c r="J45" s="28" t="s">
        <v>116</v>
      </c>
      <c r="K45" s="28" t="s">
        <v>109</v>
      </c>
      <c r="L45" s="28" t="s">
        <v>152</v>
      </c>
      <c r="M45" s="28" t="s">
        <v>229</v>
      </c>
      <c r="N45" s="28" t="n">
        <v>4</v>
      </c>
      <c r="O45" s="10" t="n">
        <f aca="false">E45*$P$1</f>
        <v>64064</v>
      </c>
    </row>
    <row r="46" customFormat="false" ht="15.75" hidden="false" customHeight="true" outlineLevel="0" collapsed="false">
      <c r="A46" s="28" t="s">
        <v>287</v>
      </c>
      <c r="B46" s="28" t="s">
        <v>280</v>
      </c>
      <c r="C46" s="28" t="s">
        <v>288</v>
      </c>
      <c r="D46" s="28" t="s">
        <v>67</v>
      </c>
      <c r="E46" s="29" t="n">
        <v>64350</v>
      </c>
      <c r="F46" s="28" t="s">
        <v>78</v>
      </c>
      <c r="G46" s="28" t="s">
        <v>69</v>
      </c>
      <c r="H46" s="28" t="s">
        <v>70</v>
      </c>
      <c r="I46" s="28" t="s">
        <v>71</v>
      </c>
      <c r="J46" s="28" t="s">
        <v>72</v>
      </c>
      <c r="K46" s="28" t="s">
        <v>73</v>
      </c>
      <c r="L46" s="28" t="s">
        <v>148</v>
      </c>
      <c r="M46" s="28" t="s">
        <v>284</v>
      </c>
      <c r="N46" s="28" t="n">
        <v>4</v>
      </c>
      <c r="O46" s="25" t="n">
        <f aca="false">E46*$P$1</f>
        <v>56628</v>
      </c>
    </row>
    <row r="47" customFormat="false" ht="15.75" hidden="false" customHeight="true" outlineLevel="0" collapsed="false">
      <c r="A47" s="28" t="s">
        <v>289</v>
      </c>
      <c r="B47" s="28" t="s">
        <v>290</v>
      </c>
      <c r="C47" s="28" t="s">
        <v>291</v>
      </c>
      <c r="D47" s="28" t="s">
        <v>81</v>
      </c>
      <c r="E47" s="29" t="n">
        <v>105900</v>
      </c>
      <c r="F47" s="28" t="s">
        <v>68</v>
      </c>
      <c r="G47" s="28" t="s">
        <v>136</v>
      </c>
      <c r="H47" s="28" t="s">
        <v>83</v>
      </c>
      <c r="I47" s="28" t="s">
        <v>150</v>
      </c>
      <c r="J47" s="28" t="s">
        <v>85</v>
      </c>
      <c r="K47" s="28" t="s">
        <v>86</v>
      </c>
      <c r="L47" s="28" t="s">
        <v>117</v>
      </c>
      <c r="M47" s="28" t="s">
        <v>292</v>
      </c>
      <c r="N47" s="28" t="n">
        <v>2</v>
      </c>
      <c r="O47" s="10" t="n">
        <f aca="false">E47*$P$1</f>
        <v>93192</v>
      </c>
    </row>
    <row r="48" customFormat="false" ht="15.75" hidden="false" customHeight="true" outlineLevel="0" collapsed="false">
      <c r="A48" s="28" t="s">
        <v>293</v>
      </c>
      <c r="B48" s="28" t="s">
        <v>290</v>
      </c>
      <c r="C48" s="28" t="s">
        <v>291</v>
      </c>
      <c r="D48" s="28" t="s">
        <v>81</v>
      </c>
      <c r="E48" s="29" t="n">
        <v>134900</v>
      </c>
      <c r="F48" s="28" t="s">
        <v>82</v>
      </c>
      <c r="G48" s="28" t="s">
        <v>136</v>
      </c>
      <c r="H48" s="28" t="s">
        <v>120</v>
      </c>
      <c r="I48" s="28" t="s">
        <v>294</v>
      </c>
      <c r="J48" s="28" t="s">
        <v>122</v>
      </c>
      <c r="K48" s="28" t="s">
        <v>86</v>
      </c>
      <c r="L48" s="28" t="s">
        <v>295</v>
      </c>
      <c r="M48" s="28" t="s">
        <v>296</v>
      </c>
      <c r="N48" s="28" t="n">
        <v>4</v>
      </c>
      <c r="O48" s="25" t="n">
        <f aca="false">E48*$P$1</f>
        <v>118712</v>
      </c>
    </row>
    <row r="49" customFormat="false" ht="15.75" hidden="false" customHeight="true" outlineLevel="0" collapsed="false">
      <c r="A49" s="28" t="s">
        <v>297</v>
      </c>
      <c r="B49" s="28" t="s">
        <v>290</v>
      </c>
      <c r="C49" s="28" t="s">
        <v>291</v>
      </c>
      <c r="D49" s="28" t="s">
        <v>81</v>
      </c>
      <c r="E49" s="29" t="n">
        <v>175900</v>
      </c>
      <c r="F49" s="28" t="s">
        <v>82</v>
      </c>
      <c r="G49" s="28" t="s">
        <v>136</v>
      </c>
      <c r="H49" s="28" t="s">
        <v>120</v>
      </c>
      <c r="I49" s="28" t="s">
        <v>107</v>
      </c>
      <c r="J49" s="28" t="s">
        <v>298</v>
      </c>
      <c r="K49" s="28" t="s">
        <v>86</v>
      </c>
      <c r="L49" s="28" t="s">
        <v>299</v>
      </c>
      <c r="M49" s="28" t="s">
        <v>296</v>
      </c>
      <c r="N49" s="28" t="n">
        <v>4</v>
      </c>
      <c r="O49" s="10" t="n">
        <f aca="false">E49*$P$1</f>
        <v>154792</v>
      </c>
    </row>
    <row r="50" customFormat="false" ht="15.75" hidden="false" customHeight="true" outlineLevel="0" collapsed="false">
      <c r="A50" s="28" t="s">
        <v>300</v>
      </c>
      <c r="B50" s="28" t="s">
        <v>301</v>
      </c>
      <c r="C50" s="28" t="s">
        <v>302</v>
      </c>
      <c r="D50" s="28" t="s">
        <v>81</v>
      </c>
      <c r="E50" s="29" t="n">
        <v>109900</v>
      </c>
      <c r="F50" s="28" t="s">
        <v>68</v>
      </c>
      <c r="G50" s="28" t="s">
        <v>136</v>
      </c>
      <c r="H50" s="28" t="s">
        <v>70</v>
      </c>
      <c r="I50" s="28" t="s">
        <v>102</v>
      </c>
      <c r="J50" s="28" t="s">
        <v>303</v>
      </c>
      <c r="K50" s="28" t="s">
        <v>86</v>
      </c>
      <c r="L50" s="28" t="s">
        <v>127</v>
      </c>
      <c r="M50" s="28" t="s">
        <v>304</v>
      </c>
      <c r="N50" s="28" t="n">
        <v>4</v>
      </c>
      <c r="O50" s="25" t="n">
        <f aca="false">E50*$P$1</f>
        <v>96712</v>
      </c>
    </row>
    <row r="51" customFormat="false" ht="15.75" hidden="false" customHeight="true" outlineLevel="0" collapsed="false">
      <c r="A51" s="28" t="s">
        <v>305</v>
      </c>
      <c r="B51" s="28" t="s">
        <v>301</v>
      </c>
      <c r="C51" s="28" t="s">
        <v>302</v>
      </c>
      <c r="D51" s="28" t="s">
        <v>81</v>
      </c>
      <c r="E51" s="29" t="n">
        <v>141300</v>
      </c>
      <c r="F51" s="28" t="s">
        <v>82</v>
      </c>
      <c r="G51" s="28" t="s">
        <v>136</v>
      </c>
      <c r="H51" s="28" t="s">
        <v>120</v>
      </c>
      <c r="I51" s="28" t="s">
        <v>294</v>
      </c>
      <c r="J51" s="28" t="s">
        <v>122</v>
      </c>
      <c r="K51" s="28" t="s">
        <v>86</v>
      </c>
      <c r="L51" s="28" t="s">
        <v>295</v>
      </c>
      <c r="M51" s="28" t="s">
        <v>306</v>
      </c>
      <c r="N51" s="28" t="n">
        <v>4</v>
      </c>
      <c r="O51" s="10" t="n">
        <f aca="false">E51*$P$1</f>
        <v>124344</v>
      </c>
    </row>
    <row r="52" customFormat="false" ht="15.75" hidden="false" customHeight="true" outlineLevel="0" collapsed="false">
      <c r="A52" s="28" t="s">
        <v>307</v>
      </c>
      <c r="B52" s="28" t="s">
        <v>301</v>
      </c>
      <c r="C52" s="28" t="s">
        <v>302</v>
      </c>
      <c r="D52" s="28" t="s">
        <v>81</v>
      </c>
      <c r="E52" s="29" t="n">
        <v>183000</v>
      </c>
      <c r="F52" s="28" t="s">
        <v>82</v>
      </c>
      <c r="G52" s="28" t="s">
        <v>136</v>
      </c>
      <c r="H52" s="28" t="s">
        <v>120</v>
      </c>
      <c r="I52" s="28" t="s">
        <v>107</v>
      </c>
      <c r="J52" s="28" t="s">
        <v>298</v>
      </c>
      <c r="K52" s="28" t="s">
        <v>86</v>
      </c>
      <c r="L52" s="28" t="s">
        <v>308</v>
      </c>
      <c r="M52" s="28" t="s">
        <v>306</v>
      </c>
      <c r="N52" s="28" t="n">
        <v>4</v>
      </c>
      <c r="O52" s="25" t="n">
        <f aca="false">E52*$P$1</f>
        <v>161040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2026-08-27T08:06:32Z</dcterms:created>
  <dc:creator>openpyxl</dc:creator>
  <dc:description/>
  <dc:language>en-US</dc:language>
  <cp:lastModifiedBy/>
  <dcterms:modified xsi:type="dcterms:W3CDTF">2026-08-28T16:41:25Z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